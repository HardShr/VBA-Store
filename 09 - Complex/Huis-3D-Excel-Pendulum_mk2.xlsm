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01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ardshr\Downloads\"/>
    </mc:Choice>
  </mc:AlternateContent>
  <xr:revisionPtr revIDLastSave="0" documentId="13_ncr:1_{C009CBFC-9EF9-494E-95EC-D239A06DE283}" xr6:coauthVersionLast="47" xr6:coauthVersionMax="47" xr10:uidLastSave="{00000000-0000-0000-0000-000000000000}"/>
  <bookViews>
    <workbookView xWindow="-120" yWindow="-120" windowWidth="29040" windowHeight="16440" activeTab="1" xr2:uid="{00000000-000D-0000-FFFF-FFFF00000000}"/>
  </bookViews>
  <sheets>
    <sheet name="Pendulum" sheetId="2" r:id="rId1"/>
    <sheet name="1" sheetId="1" r:id="rId2"/>
  </sheets>
  <definedNames>
    <definedName name="g" localSheetId="0">Pendulum!$H$7</definedName>
    <definedName name="g">'1'!$H$7</definedName>
    <definedName name="Grid" localSheetId="0">Pendulum!$AB$30</definedName>
    <definedName name="Grid">'1'!$AB$30</definedName>
    <definedName name="OMax" localSheetId="0">Pendulum!$H$6*PI()/180</definedName>
    <definedName name="OMax">'1'!$H$6*PI()/180</definedName>
    <definedName name="p10Len" localSheetId="0">Pendulum!$AB$22</definedName>
    <definedName name="p10Len">'1'!$AB$22</definedName>
    <definedName name="p10x" localSheetId="0">Pendulum!p10Len*SIN(Pendulum!OMax*SIN(SQRT(Pendulum!g/Pendulum!p10Len)*[0]!t))*{0;1}</definedName>
    <definedName name="p10x">p10Len*SIN(OMax*SIN(SQRT(g/p10Len)*t))*{0;1}</definedName>
    <definedName name="p10y" localSheetId="0">-Pendulum!p10Len*COS(Pendulum!OMax*SIN(SQRT(Pendulum!g/Pendulum!p10Len)*[0]!t))*{0;1}</definedName>
    <definedName name="p10y">-p10Len*COS(OMax*SIN(SQRT(g/p10Len)*t))*{0;1}</definedName>
    <definedName name="p10z" localSheetId="0">1*Pendulum!Spacing*{1;1}</definedName>
    <definedName name="p10z">1*Spacing*{1;1}</definedName>
    <definedName name="p11Len" localSheetId="0">Pendulum!$AB$23</definedName>
    <definedName name="p11Len">'1'!$AB$23</definedName>
    <definedName name="p11x" localSheetId="0">Pendulum!p11Len*SIN(Pendulum!OMax*SIN(SQRT(Pendulum!g/Pendulum!p11Len)*[0]!t))*{0;1}</definedName>
    <definedName name="p11x">p11Len*SIN(OMax*SIN(SQRT(g/p11Len)*t))*{0;1}</definedName>
    <definedName name="p11y" localSheetId="0">-Pendulum!p11Len*COS(Pendulum!OMax*SIN(SQRT(Pendulum!g/Pendulum!p11Len)*[0]!t))*{0;1}</definedName>
    <definedName name="p11y">-p11Len*COS(OMax*SIN(SQRT(g/p11Len)*t))*{0;1}</definedName>
    <definedName name="p11z" localSheetId="0">2*Pendulum!Spacing*{1;1}</definedName>
    <definedName name="p11z">2*Spacing*{1;1}</definedName>
    <definedName name="p12Len" localSheetId="0">Pendulum!$AB$24</definedName>
    <definedName name="p12Len">'1'!$AB$24</definedName>
    <definedName name="p12x" localSheetId="0">Pendulum!p12Len*SIN(Pendulum!OMax*SIN(SQRT(Pendulum!g/Pendulum!p12Len)*[0]!t))*{0;1}</definedName>
    <definedName name="p12x">p12Len*SIN(OMax*SIN(SQRT(g/p12Len)*t))*{0;1}</definedName>
    <definedName name="p12y" localSheetId="0">-Pendulum!p12Len*COS(Pendulum!OMax*SIN(SQRT(Pendulum!g/Pendulum!p12Len)*[0]!t))*{0;1}</definedName>
    <definedName name="p12y">-p12Len*COS(OMax*SIN(SQRT(g/p12Len)*t))*{0;1}</definedName>
    <definedName name="p12z" localSheetId="0">3*Pendulum!Spacing*{1;1}</definedName>
    <definedName name="p12z">3*Spacing*{1;1}</definedName>
    <definedName name="p13Len" localSheetId="0">Pendulum!$AB$25</definedName>
    <definedName name="p13Len">'1'!$AB$25</definedName>
    <definedName name="p13x" localSheetId="0">Pendulum!p13Len*SIN(Pendulum!OMax*SIN(SQRT(Pendulum!g/Pendulum!p13Len)*[0]!t))*{0;1}</definedName>
    <definedName name="p13x">p13Len*SIN(OMax*SIN(SQRT(g/p13Len)*t))*{0;1}</definedName>
    <definedName name="p13y" localSheetId="0">-Pendulum!p13Len*COS(Pendulum!OMax*SIN(SQRT(Pendulum!g/Pendulum!p13Len)*[0]!t))*{0;1}</definedName>
    <definedName name="p13y">-p13Len*COS(OMax*SIN(SQRT(g/p13Len)*t))*{0;1}</definedName>
    <definedName name="p13z" localSheetId="0">4*Pendulum!Spacing*{1;1}</definedName>
    <definedName name="p13z">4*Spacing*{1;1}</definedName>
    <definedName name="p14Len" localSheetId="0">Pendulum!$AB$26</definedName>
    <definedName name="p14Len">'1'!$AB$26</definedName>
    <definedName name="p14x" localSheetId="0">Pendulum!p14Len*SIN(Pendulum!OMax*SIN(SQRT(Pendulum!g/Pendulum!p14Len)*[0]!t))*{0;1}</definedName>
    <definedName name="p14x">p14Len*SIN(OMax*SIN(SQRT(g/p14Len)*t))*{0;1}</definedName>
    <definedName name="p14y" localSheetId="0">-Pendulum!p14Len*COS(Pendulum!OMax*SIN(SQRT(Pendulum!g/Pendulum!p14Len)*[0]!t))*{0;1}</definedName>
    <definedName name="p14y">-p14Len*COS(OMax*SIN(SQRT(g/p14Len)*t))*{0;1}</definedName>
    <definedName name="p14z" localSheetId="0">5*Pendulum!Spacing*{1;1}</definedName>
    <definedName name="p14z">5*Spacing*{1;1}</definedName>
    <definedName name="p15Len" localSheetId="0">Pendulum!$AB$27</definedName>
    <definedName name="p15Len">'1'!$AB$27</definedName>
    <definedName name="p15x" localSheetId="0">Pendulum!p15Len*SIN(Pendulum!OMax*SIN(SQRT(Pendulum!g/Pendulum!p15Len)*[0]!t))*{0;1}</definedName>
    <definedName name="p15x">p15Len*SIN(OMax*SIN(SQRT(g/p15Len)*t))*{0;1}</definedName>
    <definedName name="p15y" localSheetId="0">-Pendulum!p15Len*COS(Pendulum!OMax*SIN(SQRT(Pendulum!g/Pendulum!p15Len)*[0]!t))*{0;1}</definedName>
    <definedName name="p15y">-p15Len*COS(OMax*SIN(SQRT(g/p15Len)*t))*{0;1}</definedName>
    <definedName name="p15z" localSheetId="0">6*Pendulum!Spacing*{1;1}</definedName>
    <definedName name="p15z">6*Spacing*{1;1}</definedName>
    <definedName name="p16Len" localSheetId="0">Pendulum!$AB$28</definedName>
    <definedName name="p16Len">'1'!$AB$28</definedName>
    <definedName name="p16x" localSheetId="0">Pendulum!p16Len*SIN(Pendulum!OMax*SIN(SQRT(Pendulum!g/Pendulum!p16Len)*[0]!t))*{0;1}</definedName>
    <definedName name="p16x">p16Len*SIN(OMax*SIN(SQRT(g/p16Len)*t))*{0;1}</definedName>
    <definedName name="p16y" localSheetId="0">-Pendulum!p16Len*COS(Pendulum!OMax*SIN(SQRT(Pendulum!g/Pendulum!p16Len)*[0]!t))*{0;1}</definedName>
    <definedName name="p16y">-p16Len*COS(OMax*SIN(SQRT(g/p16Len)*t))*{0;1}</definedName>
    <definedName name="p16z" localSheetId="0">7*Pendulum!Spacing*{1;1}</definedName>
    <definedName name="p16z">7*Spacing*{1;1}</definedName>
    <definedName name="p1Len" localSheetId="0">Pendulum!$AB$13</definedName>
    <definedName name="p1Len">'1'!$AB$13</definedName>
    <definedName name="p1x" localSheetId="0">Pendulum!p1Len*SIN(Pendulum!OMax*SIN(SQRT(Pendulum!g/Pendulum!p1Len)*[0]!t))*{0;1}</definedName>
    <definedName name="p1x">p1Len*SIN(OMax*SIN(SQRT(g/p1Len)*t))*{0;1}</definedName>
    <definedName name="p1y" localSheetId="0">-Pendulum!p1Len*COS(Pendulum!OMax*SIN(SQRT(Pendulum!g/Pendulum!p1Len)*[0]!t))*{0;1}</definedName>
    <definedName name="p1y">-p1Len*COS(OMax*SIN(SQRT(g/p1Len)*t))*{0;1}</definedName>
    <definedName name="p1z" localSheetId="0">-8*Pendulum!Spacing*{1;1}</definedName>
    <definedName name="p1z">-8*Spacing*{1;1}</definedName>
    <definedName name="p2Len" localSheetId="0">Pendulum!$AB$14</definedName>
    <definedName name="p2Len">'1'!$AB$14</definedName>
    <definedName name="p2x" localSheetId="0">Pendulum!p2Len*SIN(Pendulum!OMax*SIN(SQRT(Pendulum!g/Pendulum!p2Len)*[0]!t))*{0;1}</definedName>
    <definedName name="p2x">p2Len*SIN(OMax*SIN(SQRT(g/p2Len)*t))*{0;1}</definedName>
    <definedName name="p2y" localSheetId="0">-Pendulum!p2Len*COS(Pendulum!OMax*SIN(SQRT(Pendulum!g/Pendulum!p2Len)*[0]!t))*{0;1}</definedName>
    <definedName name="p2y">-p2Len*COS(OMax*SIN(SQRT(g/p2Len)*t))*{0;1}</definedName>
    <definedName name="p2z" localSheetId="0">-7*Pendulum!Spacing*{1;1}</definedName>
    <definedName name="p2z">-7*Spacing*{1;1}</definedName>
    <definedName name="p3Len" localSheetId="0">Pendulum!$AB$15</definedName>
    <definedName name="p3Len">'1'!$AB$15</definedName>
    <definedName name="p3x" localSheetId="0">Pendulum!p3Len*SIN(Pendulum!OMax*SIN(SQRT(Pendulum!g/Pendulum!p3Len)*[0]!t))*{0;1}</definedName>
    <definedName name="p3x">p3Len*SIN(OMax*SIN(SQRT(g/p3Len)*t))*{0;1}</definedName>
    <definedName name="p3y" localSheetId="0">-Pendulum!p3Len*COS(Pendulum!OMax*SIN(SQRT(Pendulum!g/Pendulum!p3Len)*[0]!t))*{0;1}</definedName>
    <definedName name="p3y">-p3Len*COS(OMax*SIN(SQRT(g/p3Len)*t))*{0;1}</definedName>
    <definedName name="p3z" localSheetId="0">-6*Pendulum!Spacing*{1;1}</definedName>
    <definedName name="p3z">-6*Spacing*{1;1}</definedName>
    <definedName name="p4Len" localSheetId="0">Pendulum!$AB$16</definedName>
    <definedName name="p4Len">'1'!$AB$16</definedName>
    <definedName name="p4x" localSheetId="0">Pendulum!p4Len*SIN(Pendulum!OMax*SIN(SQRT(Pendulum!g/Pendulum!p4Len)*[0]!t))*{0;1}</definedName>
    <definedName name="p4x">p4Len*SIN(OMax*SIN(SQRT(g/p4Len)*t))*{0;1}</definedName>
    <definedName name="p4y" localSheetId="0">-Pendulum!p4Len*COS(Pendulum!OMax*SIN(SQRT(Pendulum!g/Pendulum!p4Len)*[0]!t))*{0;1}</definedName>
    <definedName name="p4y">-p4Len*COS(OMax*SIN(SQRT(g/p4Len)*t))*{0;1}</definedName>
    <definedName name="p4z" localSheetId="0">-5*Pendulum!Spacing*{1;1}</definedName>
    <definedName name="p4z">-5*Spacing*{1;1}</definedName>
    <definedName name="p5Len" localSheetId="0">Pendulum!$AB$17</definedName>
    <definedName name="p5Len">'1'!$AB$17</definedName>
    <definedName name="p5x" localSheetId="0">Pendulum!p5Len*SIN(Pendulum!OMax*SIN(SQRT(Pendulum!g/Pendulum!p5Len)*[0]!t))*{0;1}</definedName>
    <definedName name="p5x">p5Len*SIN(OMax*SIN(SQRT(g/p5Len)*t))*{0;1}</definedName>
    <definedName name="p5y" localSheetId="0">-Pendulum!p5Len*COS(Pendulum!OMax*SIN(SQRT(Pendulum!g/Pendulum!p5Len)*[0]!t))*{0;1}</definedName>
    <definedName name="p5y">-p5Len*COS(OMax*SIN(SQRT(g/p5Len)*t))*{0;1}</definedName>
    <definedName name="p5z" localSheetId="0">-4*Pendulum!Spacing*{1;1}</definedName>
    <definedName name="p5z">-4*Spacing*{1;1}</definedName>
    <definedName name="p6Len" localSheetId="0">Pendulum!$AB$18</definedName>
    <definedName name="p6Len">'1'!$AB$18</definedName>
    <definedName name="p6x" localSheetId="0">Pendulum!p6Len*SIN(Pendulum!OMax*SIN(SQRT(Pendulum!g/Pendulum!p6Len)*[0]!t))*{0;1}</definedName>
    <definedName name="p6x">p6Len*SIN(OMax*SIN(SQRT(g/p6Len)*t))*{0;1}</definedName>
    <definedName name="p6y" localSheetId="0">-Pendulum!p6Len*COS(Pendulum!OMax*SIN(SQRT(Pendulum!g/Pendulum!p6Len)*[0]!t))*{0;1}</definedName>
    <definedName name="p6y">-p6Len*COS(OMax*SIN(SQRT(g/p6Len)*t))*{0;1}</definedName>
    <definedName name="p6z" localSheetId="0">-3*Pendulum!Spacing*{1;1}</definedName>
    <definedName name="p6z">-3*Spacing*{1;1}</definedName>
    <definedName name="p7Len" localSheetId="0">Pendulum!$AB$19</definedName>
    <definedName name="p7Len">'1'!$AB$19</definedName>
    <definedName name="p7x" localSheetId="0">Pendulum!p7Len*SIN(Pendulum!OMax*SIN(SQRT(Pendulum!g/Pendulum!p7Len)*[0]!t))*{0;1}</definedName>
    <definedName name="p7x">p7Len*SIN(OMax*SIN(SQRT(g/p7Len)*t))*{0;1}</definedName>
    <definedName name="p7y" localSheetId="0">-Pendulum!p7Len*COS(Pendulum!OMax*SIN(SQRT(Pendulum!g/Pendulum!p7Len)*[0]!t))*{0;1}</definedName>
    <definedName name="p7y">-p7Len*COS(OMax*SIN(SQRT(g/p7Len)*t))*{0;1}</definedName>
    <definedName name="p7z" localSheetId="0">-2*Pendulum!Spacing*{1;1}</definedName>
    <definedName name="p7z">-2*Spacing*{1;1}</definedName>
    <definedName name="p8Len" localSheetId="0">Pendulum!$AB$20</definedName>
    <definedName name="p8Len">'1'!$AB$20</definedName>
    <definedName name="p8x" localSheetId="0">Pendulum!p8Len*SIN(Pendulum!OMax*SIN(SQRT(Pendulum!g/Pendulum!p8Len)*[0]!t))*{0;1}</definedName>
    <definedName name="p8x">p8Len*SIN(OMax*SIN(SQRT(g/p8Len)*t))*{0;1}</definedName>
    <definedName name="p8y" localSheetId="0">-Pendulum!p8Len*COS(Pendulum!OMax*SIN(SQRT(Pendulum!g/Pendulum!p8Len)*[0]!t))*{0;1}</definedName>
    <definedName name="p8y">-p8Len*COS(OMax*SIN(SQRT(g/p8Len)*t))*{0;1}</definedName>
    <definedName name="p8z" localSheetId="0">-Pendulum!Spacing*{1;1}</definedName>
    <definedName name="p8z">-Spacing*{1;1}</definedName>
    <definedName name="p9Len" localSheetId="0">Pendulum!$AB$21</definedName>
    <definedName name="p9Len">'1'!$AB$21</definedName>
    <definedName name="p9x" localSheetId="0">Pendulum!p9Len*SIN(Pendulum!OMax*SIN(SQRT(Pendulum!g/Pendulum!p9Len)*[0]!t))*{0;1}</definedName>
    <definedName name="p9x">p9Len*SIN(OMax*SIN(SQRT(g/p9Len)*t))*{0;1}</definedName>
    <definedName name="p9y" localSheetId="0">-Pendulum!p9Len*COS(Pendulum!OMax*SIN(SQRT(Pendulum!g/Pendulum!p9Len)*[0]!t))*{0;1}</definedName>
    <definedName name="p9y">-p9Len*COS(OMax*SIN(SQRT(g/p9Len)*t))*{0;1}</definedName>
    <definedName name="p9z" localSheetId="0">0*Pendulum!Spacing*{1;1}</definedName>
    <definedName name="p9z">0*Spacing*{1;1}</definedName>
    <definedName name="pp10x" localSheetId="0">(Pendulum!p10x*Pendulum!RM_X1)+(Pendulum!p10y*Pendulum!RM_Y1)+(Pendulum!p10z*Pendulum!RM_Z1)</definedName>
    <definedName name="pp10x">(p10x*RM_X1)+(p10y*RM_Y1)+(p10z*RM_Z1)</definedName>
    <definedName name="pp10y" localSheetId="0">(Pendulum!p10x*Pendulum!RM_X2)+(Pendulum!p10y*Pendulum!RM_Y2)+(Pendulum!p10z*Pendulum!RM_Z2)</definedName>
    <definedName name="pp10y">(p10x*RM_X2)+(p10y*RM_Y2)+(p10z*RM_Z2)</definedName>
    <definedName name="pp11x" localSheetId="0">(Pendulum!p11x*Pendulum!RM_X1)+(Pendulum!p11y*Pendulum!RM_Y1)+(Pendulum!p11z*Pendulum!RM_Z1)</definedName>
    <definedName name="pp11x">(p11x*RM_X1)+(p11y*RM_Y1)+(p11z*RM_Z1)</definedName>
    <definedName name="pp11y" localSheetId="0">(Pendulum!p11x*Pendulum!RM_X2)+(Pendulum!p11y*Pendulum!RM_Y2)+(Pendulum!p11z*Pendulum!RM_Z2)</definedName>
    <definedName name="pp11y">(p11x*RM_X2)+(p11y*RM_Y2)+(p11z*RM_Z2)</definedName>
    <definedName name="pp12x" localSheetId="0">(Pendulum!p12x*Pendulum!RM_X1)+(Pendulum!p12y*Pendulum!RM_Y1)+(Pendulum!p12z*Pendulum!RM_Z1)</definedName>
    <definedName name="pp12x">(p12x*RM_X1)+(p12y*RM_Y1)+(p12z*RM_Z1)</definedName>
    <definedName name="pp12y" localSheetId="0">(Pendulum!p12x*Pendulum!RM_X2)+(Pendulum!p12y*Pendulum!RM_Y2)+(Pendulum!p12z*Pendulum!RM_Z2)</definedName>
    <definedName name="pp12y">(p12x*RM_X2)+(p12y*RM_Y2)+(p12z*RM_Z2)</definedName>
    <definedName name="pp13x" localSheetId="0">(Pendulum!p13x*Pendulum!RM_X1)+(Pendulum!p13y*Pendulum!RM_Y1)+(Pendulum!p13z*Pendulum!RM_Z1)</definedName>
    <definedName name="pp13x">(p13x*RM_X1)+(p13y*RM_Y1)+(p13z*RM_Z1)</definedName>
    <definedName name="pp13y" localSheetId="0">(Pendulum!p13x*Pendulum!RM_X2)+(Pendulum!p13y*Pendulum!RM_Y2)+(Pendulum!p13z*Pendulum!RM_Z2)</definedName>
    <definedName name="pp13y">(p13x*RM_X2)+(p13y*RM_Y2)+(p13z*RM_Z2)</definedName>
    <definedName name="pp14x" localSheetId="0">(Pendulum!p14x*Pendulum!RM_X1)+(Pendulum!p14y*Pendulum!RM_Y1)+(Pendulum!p14z*Pendulum!RM_Z1)</definedName>
    <definedName name="pp14x">(p14x*RM_X1)+(p14y*RM_Y1)+(p14z*RM_Z1)</definedName>
    <definedName name="pp14y" localSheetId="0">(Pendulum!p14x*Pendulum!RM_X2)+(Pendulum!p14y*Pendulum!RM_Y2)+(Pendulum!p14z*Pendulum!RM_Z2)</definedName>
    <definedName name="pp14y">(p14x*RM_X2)+(p14y*RM_Y2)+(p14z*RM_Z2)</definedName>
    <definedName name="pp15x" localSheetId="0">(Pendulum!p15x*Pendulum!RM_X1)+(Pendulum!p15y*Pendulum!RM_Y1)+(Pendulum!p15z*Pendulum!RM_Z1)</definedName>
    <definedName name="pp15x">(p15x*RM_X1)+(p15y*RM_Y1)+(p15z*RM_Z1)</definedName>
    <definedName name="pp15y" localSheetId="0">(Pendulum!p15x*Pendulum!RM_X2)+(Pendulum!p15y*Pendulum!RM_Y2)+(Pendulum!p15z*Pendulum!RM_Z2)</definedName>
    <definedName name="pp15y">(p15x*RM_X2)+(p15y*RM_Y2)+(p15z*RM_Z2)</definedName>
    <definedName name="pp16x" localSheetId="0">(Pendulum!p16x*Pendulum!RM_X1)+(Pendulum!p16y*Pendulum!RM_Y1)+(Pendulum!p16z*Pendulum!RM_Z1)</definedName>
    <definedName name="pp16x">(p16x*RM_X1)+(p16y*RM_Y1)+(p16z*RM_Z1)</definedName>
    <definedName name="pp16y" localSheetId="0">(Pendulum!p16x*Pendulum!RM_X2)+(Pendulum!p16y*Pendulum!RM_Y2)+(Pendulum!p16z*Pendulum!RM_Z2)</definedName>
    <definedName name="pp16y">(p16x*RM_X2)+(p16y*RM_Y2)+(p16z*RM_Z2)</definedName>
    <definedName name="pp1x" localSheetId="0">(Pendulum!p1x*Pendulum!RM_X1)+(Pendulum!p1y*Pendulum!RM_Y1)+(Pendulum!p1z*Pendulum!RM_Z1)</definedName>
    <definedName name="pp1x">(p1x*RM_X1)+(p1y*RM_Y1)+(p1z*RM_Z1)</definedName>
    <definedName name="pp1y" localSheetId="0">(Pendulum!p1x*Pendulum!RM_X2)+(Pendulum!p1y*Pendulum!RM_Y2)+(Pendulum!p1z*Pendulum!RM_Z2)</definedName>
    <definedName name="pp1y">(p1x*RM_X2)+(p1y*RM_Y2)+(p1z*RM_Z2)</definedName>
    <definedName name="pp2x" localSheetId="0">(Pendulum!p2x*Pendulum!RM_X1)+(Pendulum!p2y*Pendulum!RM_Y1)+(Pendulum!p2z*Pendulum!RM_Z1)</definedName>
    <definedName name="pp2x">(p2x*RM_X1)+(p2y*RM_Y1)+(p2z*RM_Z1)</definedName>
    <definedName name="pp2y" localSheetId="0">(Pendulum!p2x*Pendulum!RM_X2)+(Pendulum!p2y*Pendulum!RM_Y2)+(Pendulum!p2z*Pendulum!RM_Z2)</definedName>
    <definedName name="pp2y">(p2x*RM_X2)+(p2y*RM_Y2)+(p2z*RM_Z2)</definedName>
    <definedName name="pp3x" localSheetId="0">(Pendulum!p3x*Pendulum!RM_X1)+(Pendulum!p3y*Pendulum!RM_Y1)+(Pendulum!p3z*Pendulum!RM_Z1)</definedName>
    <definedName name="pp3x">(p3x*RM_X1)+(p3y*RM_Y1)+(p3z*RM_Z1)</definedName>
    <definedName name="pp3y" localSheetId="0">(Pendulum!p3x*Pendulum!RM_X2)+(Pendulum!p3y*Pendulum!RM_Y2)+(Pendulum!p3z*Pendulum!RM_Z2)</definedName>
    <definedName name="pp3y">(p3x*RM_X2)+(p3y*RM_Y2)+(p3z*RM_Z2)</definedName>
    <definedName name="pp4x" localSheetId="0">(Pendulum!p4x*Pendulum!RM_X1)+(Pendulum!p4y*Pendulum!RM_Y1)+(Pendulum!p4z*Pendulum!RM_Z1)</definedName>
    <definedName name="pp4x">(p4x*RM_X1)+(p4y*RM_Y1)+(p4z*RM_Z1)</definedName>
    <definedName name="pp4y" localSheetId="0">(Pendulum!p4x*Pendulum!RM_X2)+(Pendulum!p4y*Pendulum!RM_Y2)+(Pendulum!p4z*Pendulum!RM_Z2)</definedName>
    <definedName name="pp4y">(p4x*RM_X2)+(p4y*RM_Y2)+(p4z*RM_Z2)</definedName>
    <definedName name="pp5x" localSheetId="0">(Pendulum!p5x*Pendulum!RM_X1)+(Pendulum!p5y*Pendulum!RM_Y1)+(Pendulum!p5z*Pendulum!RM_Z1)</definedName>
    <definedName name="pp5x">(p5x*RM_X1)+(p5y*RM_Y1)+(p5z*RM_Z1)</definedName>
    <definedName name="pp5y" localSheetId="0">(Pendulum!p5x*Pendulum!RM_X2)+(Pendulum!p5y*Pendulum!RM_Y2)+(Pendulum!p5z*Pendulum!RM_Z2)</definedName>
    <definedName name="pp5y">(p5x*RM_X2)+(p5y*RM_Y2)+(p5z*RM_Z2)</definedName>
    <definedName name="pp6x" localSheetId="0">(Pendulum!p6x*Pendulum!RM_X1)+(Pendulum!p6y*Pendulum!RM_Y1)+(Pendulum!p6z*Pendulum!RM_Z1)</definedName>
    <definedName name="pp6x">(p6x*RM_X1)+(p6y*RM_Y1)+(p6z*RM_Z1)</definedName>
    <definedName name="pp6y" localSheetId="0">(Pendulum!p6x*Pendulum!RM_X2)+(Pendulum!p6y*Pendulum!RM_Y2)+(Pendulum!p6z*Pendulum!RM_Z2)</definedName>
    <definedName name="pp6y">(p6x*RM_X2)+(p6y*RM_Y2)+(p6z*RM_Z2)</definedName>
    <definedName name="pp7x" localSheetId="0">(Pendulum!p7x*Pendulum!RM_X1)+(Pendulum!p7y*Pendulum!RM_Y1)+(Pendulum!p7z*Pendulum!RM_Z1)</definedName>
    <definedName name="pp7x">(p7x*RM_X1)+(p7y*RM_Y1)+(p7z*RM_Z1)</definedName>
    <definedName name="pp7y" localSheetId="0">(Pendulum!p7x*Pendulum!RM_X2)+(Pendulum!p7y*Pendulum!RM_Y2)+(Pendulum!p7z*Pendulum!RM_Z2)</definedName>
    <definedName name="pp7y">(p7x*RM_X2)+(p7y*RM_Y2)+(p7z*RM_Z2)</definedName>
    <definedName name="pp8x" localSheetId="0">(Pendulum!p8x*Pendulum!RM_X1)+(Pendulum!p8y*Pendulum!RM_Y1)+(Pendulum!p8z*Pendulum!RM_Z1)</definedName>
    <definedName name="pp8x">(p8x*RM_X1)+(p8y*RM_Y1)+(p8z*RM_Z1)</definedName>
    <definedName name="pp8y" localSheetId="0">(Pendulum!p8x*Pendulum!RM_X2)+(Pendulum!p8y*Pendulum!RM_Y2)+(Pendulum!p8z*Pendulum!RM_Z2)</definedName>
    <definedName name="pp8y">(p8x*RM_X2)+(p8y*RM_Y2)+(p8z*RM_Z2)</definedName>
    <definedName name="pp9x" localSheetId="0">(Pendulum!p9x*Pendulum!RM_X1)+(Pendulum!p9y*Pendulum!RM_Y1)+(Pendulum!p9z*Pendulum!RM_Z1)</definedName>
    <definedName name="pp9x">(p9x*RM_X1)+(p9y*RM_Y1)+(p9z*RM_Z1)</definedName>
    <definedName name="pp9y" localSheetId="0">(Pendulum!p9x*Pendulum!RM_X2)+(Pendulum!p9y*Pendulum!RM_Y2)+(Pendulum!p9z*Pendulum!RM_Z2)</definedName>
    <definedName name="pp9y">(p9x*RM_X2)+(p9y*RM_Y2)+(p9z*RM_Z2)</definedName>
    <definedName name="QQ" localSheetId="0">Pendulum!$K$6</definedName>
    <definedName name="QQ">'1'!$K$6</definedName>
    <definedName name="RM_X1" localSheetId="0">Pendulum!YCos*Pendulum!ZCos</definedName>
    <definedName name="RM_X1">YCos*ZCos</definedName>
    <definedName name="RM_X2" localSheetId="0">Pendulum!ZCos * -Pendulum!YSin * -Pendulum!XSin + Pendulum!ZSin * Pendulum!XCos</definedName>
    <definedName name="RM_X2">ZCos * -YSin * -XSin + ZSin * XCos</definedName>
    <definedName name="RM_X3" localSheetId="0">Pendulum!ZCos * -Pendulum!YSin * Pendulum!XCos + Pendulum!ZSin * Pendulum!XSin</definedName>
    <definedName name="RM_X3">ZCos * -YSin * XCos + ZSin * XSin</definedName>
    <definedName name="RM_Y1" localSheetId="0">-Pendulum!ZSin * Pendulum!YCos</definedName>
    <definedName name="RM_Y1">-ZSin * YCos</definedName>
    <definedName name="RM_Y2" localSheetId="0">-Pendulum!ZSin * -Pendulum!YSin * -Pendulum!XSin + Pendulum!ZCos*Pendulum!XCos</definedName>
    <definedName name="RM_Y2">-ZSin * -YSin * -XSin + ZCos*XCos</definedName>
    <definedName name="RM_Y3" localSheetId="0">-Pendulum!ZSin * -Pendulum!YSin * Pendulum!XCos + Pendulum!ZCos * Pendulum!XSin</definedName>
    <definedName name="RM_Y3">-ZSin * -YSin * XCos + ZCos * XSin</definedName>
    <definedName name="RM_Z1" localSheetId="0">Pendulum!YSin</definedName>
    <definedName name="RM_Z1">YSin</definedName>
    <definedName name="RM_Z2" localSheetId="0">Pendulum!YCos * -Pendulum!XSin</definedName>
    <definedName name="RM_Z2">YCos * -XSin</definedName>
    <definedName name="RM_Z3" localSheetId="0">Pendulum!YCos * Pendulum!XCos</definedName>
    <definedName name="RM_Z3">YCos * XCos</definedName>
    <definedName name="ShowAxis" localSheetId="0">Pendulum!$AB$11</definedName>
    <definedName name="ShowAxis">'1'!$AB$11</definedName>
    <definedName name="ShowCage" localSheetId="0">Pendulum!$AB$10</definedName>
    <definedName name="ShowCage">'1'!$AB$10</definedName>
    <definedName name="Spacing" localSheetId="0">Pendulum!$H$8</definedName>
    <definedName name="Spacing">'1'!$H$8</definedName>
    <definedName name="Start" localSheetId="0">-Pendulum!p1Len*COS(Pendulum!OMax)</definedName>
    <definedName name="Start">-p1Len*COS(OMax)</definedName>
    <definedName name="t">2.31999999999997</definedName>
    <definedName name="tinc" localSheetId="0">Pendulum!$H$5</definedName>
    <definedName name="tinc">'1'!$H$5</definedName>
    <definedName name="XAngle" localSheetId="0">Pendulum!$N$11</definedName>
    <definedName name="XAngle">'1'!$N$11</definedName>
    <definedName name="XCos" localSheetId="0">COS(RADIANS(Pendulum!XAngle))</definedName>
    <definedName name="XCos">COS(RADIANS(XAngle))</definedName>
    <definedName name="XSin" localSheetId="0">SIN(RADIANS(Pendulum!XAngle))</definedName>
    <definedName name="XSin">SIN(RADIANS(XAngle))</definedName>
    <definedName name="YAngle" localSheetId="0">Pendulum!$N$12</definedName>
    <definedName name="YAngle">'1'!$N$12</definedName>
    <definedName name="YCos" localSheetId="0">COS(RADIANS(Pendulum!YAngle))</definedName>
    <definedName name="YCos">COS(RADIANS(YAngle))</definedName>
    <definedName name="YRot" localSheetId="0">Pendulum!$AB$6</definedName>
    <definedName name="YRot">'1'!$AB$6</definedName>
    <definedName name="YSin" localSheetId="0">SIN(RADIANS(Pendulum!YAngle))</definedName>
    <definedName name="YSin">SIN(RADIANS(YAngle))</definedName>
    <definedName name="ZAngle" localSheetId="0">Pendulum!$N$13</definedName>
    <definedName name="ZAngle">'1'!$N$13</definedName>
    <definedName name="ZCos" localSheetId="0">COS(RADIANS(Pendulum!ZAngle))</definedName>
    <definedName name="ZCos">COS(RADIANS(ZAngle))</definedName>
    <definedName name="ZSin" localSheetId="0">SIN(RADIANS(Pendulum!ZAngle))</definedName>
    <definedName name="ZSin">SIN(RADIANS(ZAngle))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C90" i="2" l="1"/>
  <c r="AB90" i="2"/>
  <c r="AC89" i="2"/>
  <c r="AB89" i="2"/>
  <c r="AC88" i="2"/>
  <c r="AB88" i="2"/>
  <c r="AC87" i="2"/>
  <c r="AB87" i="2"/>
  <c r="AC86" i="2"/>
  <c r="AB86" i="2"/>
  <c r="AC85" i="2"/>
  <c r="AB85" i="2"/>
  <c r="AC84" i="2"/>
  <c r="AB84" i="2"/>
  <c r="AC83" i="2"/>
  <c r="AB83" i="2"/>
  <c r="AC82" i="2"/>
  <c r="AB82" i="2"/>
  <c r="AC81" i="2"/>
  <c r="AB81" i="2"/>
  <c r="AC78" i="2"/>
  <c r="AC77" i="2"/>
  <c r="AB77" i="2"/>
  <c r="AC76" i="2"/>
  <c r="AB76" i="2"/>
  <c r="AC74" i="2"/>
  <c r="AC73" i="2"/>
  <c r="AB73" i="2"/>
  <c r="AC72" i="2"/>
  <c r="AB72" i="2"/>
  <c r="AD66" i="2"/>
  <c r="AD59" i="2"/>
  <c r="AC79" i="2" s="1"/>
  <c r="AD58" i="2"/>
  <c r="AB78" i="2" s="1"/>
  <c r="AD55" i="2"/>
  <c r="AC75" i="2" s="1"/>
  <c r="AD54" i="2"/>
  <c r="AB74" i="2" s="1"/>
  <c r="AD53" i="2"/>
  <c r="AC48" i="2"/>
  <c r="AB48" i="2"/>
  <c r="AC47" i="2"/>
  <c r="AB47" i="2"/>
  <c r="AC46" i="2"/>
  <c r="AC44" i="2"/>
  <c r="AB44" i="2"/>
  <c r="AB43" i="2"/>
  <c r="AD40" i="2"/>
  <c r="AC49" i="2" s="1"/>
  <c r="AD39" i="2"/>
  <c r="AC37" i="2"/>
  <c r="AB46" i="2" s="1"/>
  <c r="AC36" i="2"/>
  <c r="AC45" i="2" s="1"/>
  <c r="AB34" i="2"/>
  <c r="AC43" i="2" s="1"/>
  <c r="AB33" i="2"/>
  <c r="AC42" i="2" s="1"/>
  <c r="AC16" i="2"/>
  <c r="AC17" i="2" s="1"/>
  <c r="AC15" i="2"/>
  <c r="AB15" i="2" s="1"/>
  <c r="AB14" i="2"/>
  <c r="H7" i="2"/>
  <c r="H7" i="1"/>
  <c r="AB17" i="2" l="1"/>
  <c r="AC18" i="2"/>
  <c r="AD60" i="2"/>
  <c r="AB75" i="2"/>
  <c r="AB79" i="2"/>
  <c r="AB45" i="2"/>
  <c r="AB49" i="2"/>
  <c r="AB16" i="2"/>
  <c r="AB42" i="2"/>
  <c r="AD66" i="1"/>
  <c r="AB85" i="1"/>
  <c r="AB88" i="1"/>
  <c r="AC90" i="1"/>
  <c r="AB90" i="1"/>
  <c r="AC89" i="1"/>
  <c r="AB89" i="1"/>
  <c r="AC88" i="1"/>
  <c r="AC86" i="1"/>
  <c r="AB86" i="1"/>
  <c r="AC84" i="1"/>
  <c r="AB84" i="1"/>
  <c r="AC83" i="1"/>
  <c r="AB83" i="1"/>
  <c r="AC82" i="1"/>
  <c r="AB82" i="1"/>
  <c r="AC81" i="1"/>
  <c r="AB81" i="1"/>
  <c r="AC77" i="1"/>
  <c r="AB77" i="1"/>
  <c r="AC76" i="1"/>
  <c r="AB76" i="1"/>
  <c r="AC72" i="1"/>
  <c r="AB72" i="1"/>
  <c r="AD58" i="1"/>
  <c r="AB78" i="1" s="1"/>
  <c r="AD53" i="1"/>
  <c r="AB73" i="1" s="1"/>
  <c r="AD54" i="1"/>
  <c r="AD55" i="1" s="1"/>
  <c r="AD40" i="1"/>
  <c r="AC49" i="1" s="1"/>
  <c r="AC37" i="1"/>
  <c r="AB46" i="1" s="1"/>
  <c r="AB34" i="1"/>
  <c r="AC43" i="1" s="1"/>
  <c r="AD39" i="1"/>
  <c r="AB48" i="1" s="1"/>
  <c r="AC36" i="1"/>
  <c r="AB45" i="1" s="1"/>
  <c r="AB33" i="1"/>
  <c r="AB42" i="1" s="1"/>
  <c r="AC47" i="1"/>
  <c r="AB47" i="1"/>
  <c r="AC44" i="1"/>
  <c r="AB44" i="1"/>
  <c r="AC45" i="1" l="1"/>
  <c r="AB49" i="1"/>
  <c r="AC80" i="2"/>
  <c r="AB80" i="2"/>
  <c r="AB18" i="2"/>
  <c r="AC19" i="2"/>
  <c r="AC46" i="1"/>
  <c r="AC78" i="1"/>
  <c r="AB43" i="1"/>
  <c r="AC48" i="1"/>
  <c r="AC73" i="1"/>
  <c r="AC87" i="1"/>
  <c r="AB87" i="1"/>
  <c r="AC85" i="1"/>
  <c r="AB75" i="1"/>
  <c r="AC75" i="1"/>
  <c r="AC74" i="1"/>
  <c r="AB74" i="1"/>
  <c r="AD59" i="1"/>
  <c r="AC42" i="1"/>
  <c r="AC20" i="2" l="1"/>
  <c r="AB19" i="2"/>
  <c r="AB79" i="1"/>
  <c r="AC79" i="1"/>
  <c r="AD60" i="1"/>
  <c r="AC21" i="2" l="1"/>
  <c r="AB20" i="2"/>
  <c r="AB80" i="1"/>
  <c r="AC80" i="1"/>
  <c r="AC15" i="1"/>
  <c r="AC16" i="1" s="1"/>
  <c r="AB14" i="1"/>
  <c r="AC22" i="2" l="1"/>
  <c r="AB21" i="2"/>
  <c r="AB15" i="1"/>
  <c r="AC17" i="1"/>
  <c r="AB16" i="1"/>
  <c r="AC23" i="2" l="1"/>
  <c r="AB22" i="2"/>
  <c r="AC18" i="1"/>
  <c r="AB17" i="1"/>
  <c r="AC24" i="2" l="1"/>
  <c r="AB23" i="2"/>
  <c r="AC19" i="1"/>
  <c r="AB18" i="1"/>
  <c r="AC25" i="2" l="1"/>
  <c r="AB24" i="2"/>
  <c r="AC20" i="1"/>
  <c r="AB19" i="1"/>
  <c r="AB25" i="2" l="1"/>
  <c r="AC26" i="2"/>
  <c r="AB20" i="1"/>
  <c r="AC21" i="1"/>
  <c r="AB26" i="2" l="1"/>
  <c r="AC27" i="2"/>
  <c r="AC22" i="1"/>
  <c r="AB21" i="1"/>
  <c r="AC28" i="2" l="1"/>
  <c r="AB28" i="2" s="1"/>
  <c r="AB27" i="2"/>
  <c r="AB22" i="1"/>
  <c r="AC23" i="1"/>
  <c r="AC24" i="1" l="1"/>
  <c r="AB23" i="1"/>
  <c r="AB24" i="1" l="1"/>
  <c r="AC25" i="1"/>
  <c r="AC26" i="1" l="1"/>
  <c r="AB25" i="1"/>
  <c r="AB26" i="1" l="1"/>
  <c r="AC27" i="1"/>
  <c r="AC28" i="1" l="1"/>
  <c r="AB27" i="1"/>
  <c r="AB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 Huitson</author>
  </authors>
  <commentList>
    <comment ref="H5" authorId="0" shapeId="0" xr:uid="{9CC797A7-47B8-4787-A7EE-9951E8BB8C5B}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Ian Huitson</author>
  </authors>
  <commentList>
    <comment ref="H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Smaller = Slower
Larger = Faster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<sst xmlns="http://schemas.openxmlformats.org/spreadsheetml/2006/main" count="76" uniqueCount="34">
  <si>
    <t>Pendulum</t>
  </si>
  <si>
    <t>Gravity</t>
  </si>
  <si>
    <t>Degrees</t>
  </si>
  <si>
    <t>Swing (Max)</t>
  </si>
  <si>
    <t>Length, cm</t>
  </si>
  <si>
    <t>Cycles/T</t>
  </si>
  <si>
    <t>Time Inc</t>
  </si>
  <si>
    <t xml:space="preserve">Inspiration: </t>
  </si>
  <si>
    <t>Smaller = Slower</t>
  </si>
  <si>
    <t xml:space="preserve">Bob Color </t>
  </si>
  <si>
    <t xml:space="preserve">Wire Color </t>
  </si>
  <si>
    <t>Newton Excel Bach</t>
  </si>
  <si>
    <t xml:space="preserve">Author: </t>
  </si>
  <si>
    <t>Ian Huitson</t>
  </si>
  <si>
    <t>Spacing</t>
  </si>
  <si>
    <t>cm</t>
  </si>
  <si>
    <t>Tinc</t>
  </si>
  <si>
    <t>max Swing</t>
  </si>
  <si>
    <t>Running</t>
  </si>
  <si>
    <t>X Angle</t>
  </si>
  <si>
    <t>Y Angle</t>
  </si>
  <si>
    <t>Z Angle</t>
  </si>
  <si>
    <t xml:space="preserve">3D Code: </t>
  </si>
  <si>
    <t>AJP Excel Information</t>
  </si>
  <si>
    <r>
      <t>cm/s</t>
    </r>
    <r>
      <rPr>
        <vertAlign val="superscript"/>
        <sz val="16"/>
        <color theme="1" tint="0.499984740745262"/>
        <rFont val="Calibri"/>
        <family val="2"/>
        <scheme val="minor"/>
      </rPr>
      <t>2</t>
    </r>
    <r>
      <rPr>
        <sz val="16"/>
        <color theme="1" tint="0.499984740745262"/>
        <rFont val="Calibri"/>
        <family val="2"/>
        <scheme val="minor"/>
      </rPr>
      <t xml:space="preserve"> </t>
    </r>
  </si>
  <si>
    <t>Axes</t>
  </si>
  <si>
    <t>X</t>
  </si>
  <si>
    <t>Y</t>
  </si>
  <si>
    <t>Z</t>
  </si>
  <si>
    <t>Cage</t>
  </si>
  <si>
    <t>Grid</t>
  </si>
  <si>
    <t>Show Cage</t>
  </si>
  <si>
    <t>Show Axis</t>
  </si>
  <si>
    <t>Animate Y Rotation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</si>
</sst>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4"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rgb="FF006100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8"/>
      <color rgb="FF000000"/>
      <name val="Tahoma"/>
      <family val="2"/>
    </font>
    <font>
      <b/>
      <u/>
      <sz val="8"/>
      <color theme="1"/>
      <name val="Calibri"/>
      <family val="2"/>
      <scheme val="minor"/>
    </font>
    <font>
      <b/>
      <sz val="8"/>
      <color rgb="FF0000FF"/>
      <name val="Calibri"/>
      <family val="2"/>
      <scheme val="minor"/>
    </font>
    <font>
      <u/>
      <sz val="10.4"/>
      <color theme="10"/>
      <name val="Calibri"/>
      <family val="2"/>
    </font>
    <font>
      <u/>
      <sz val="8"/>
      <color theme="10"/>
      <name val="Calibri"/>
      <family val="2"/>
    </font>
    <font>
      <b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8"/>
      <color rgb="FF0000FF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2"/>
      <color theme="10"/>
      <name val="Calibri"/>
      <family val="2"/>
    </font>
    <font>
      <b/>
      <sz val="16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 tint="0.499984740745262"/>
      <name val="Calibri"/>
      <family val="2"/>
      <scheme val="minor"/>
    </font>
    <font>
      <vertAlign val="superscript"/>
      <sz val="16"/>
      <color theme="1" tint="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6"/>
      <color theme="10"/>
      <name val="Calibri"/>
      <family val="2"/>
    </font>
    <font>
      <b/>
      <u/>
      <sz val="16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6">
    <border>
      <left/>
      <right/>
      <top/>
      <bottom/>
      <diagonal/>
    </border>
    <border>
      <left style="thin">
        <color theme="3" tint="0.39994506668294322"/>
      </left>
      <right style="thin">
        <color theme="3" tint="0.39994506668294322"/>
      </right>
      <top style="thin">
        <color theme="3" tint="0.39994506668294322"/>
      </top>
      <bottom/>
      <diagonal/>
    </border>
    <border>
      <left style="thin">
        <color theme="3" tint="0.39994506668294322"/>
      </left>
      <right style="thin">
        <color theme="3" tint="0.39994506668294322"/>
      </right>
      <top/>
      <bottom/>
      <diagonal/>
    </border>
    <border>
      <left style="thin">
        <color theme="3" tint="0.39994506668294322"/>
      </left>
      <right style="thin">
        <color theme="3" tint="0.39994506668294322"/>
      </right>
      <top/>
      <bottom style="thin">
        <color theme="3" tint="0.399945066682943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rgb="FF0000FF"/>
      </left>
      <right/>
      <top style="double">
        <color rgb="FF0000FF"/>
      </top>
      <bottom/>
      <diagonal/>
    </border>
    <border>
      <left/>
      <right/>
      <top style="double">
        <color rgb="FF0000FF"/>
      </top>
      <bottom/>
      <diagonal/>
    </border>
    <border>
      <left/>
      <right style="double">
        <color rgb="FF0000FF"/>
      </right>
      <top style="double">
        <color rgb="FF0000FF"/>
      </top>
      <bottom/>
      <diagonal/>
    </border>
    <border>
      <left style="double">
        <color rgb="FF0000FF"/>
      </left>
      <right/>
      <top/>
      <bottom/>
      <diagonal/>
    </border>
    <border>
      <left/>
      <right style="double">
        <color rgb="FF0000FF"/>
      </right>
      <top/>
      <bottom/>
      <diagonal/>
    </border>
    <border>
      <left style="double">
        <color rgb="FF0000FF"/>
      </left>
      <right/>
      <top/>
      <bottom style="double">
        <color rgb="FF0000FF"/>
      </bottom>
      <diagonal/>
    </border>
    <border>
      <left/>
      <right/>
      <top/>
      <bottom style="double">
        <color rgb="FF0000FF"/>
      </bottom>
      <diagonal/>
    </border>
    <border>
      <left/>
      <right style="double">
        <color rgb="FF0000FF"/>
      </right>
      <top/>
      <bottom style="double">
        <color rgb="FF0000FF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FF"/>
      </left>
      <right style="thin">
        <color rgb="FF0000FF"/>
      </right>
      <top style="thin">
        <color rgb="FF0000FF"/>
      </top>
      <bottom/>
      <diagonal/>
    </border>
    <border>
      <left style="thin">
        <color rgb="FF0000FF"/>
      </left>
      <right style="thin">
        <color rgb="FF0000FF"/>
      </right>
      <top/>
      <bottom/>
      <diagonal/>
    </border>
    <border>
      <left style="thin">
        <color rgb="FF0000FF"/>
      </left>
      <right style="thin">
        <color rgb="FF0000FF"/>
      </right>
      <top/>
      <bottom style="thin">
        <color rgb="FF0000FF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4">
    <xf numFmtId="0" fontId="0" fillId="0" borderId="0"/>
    <xf numFmtId="0" fontId="2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1" fillId="0" borderId="0"/>
  </cellStyleXfs>
  <cellXfs count="79">
    <xf numFmtId="0" fontId="0" fillId="0" borderId="0" xfId="0"/>
    <xf numFmtId="0" fontId="0" fillId="4" borderId="0" xfId="0" applyFill="1"/>
    <xf numFmtId="0" fontId="3" fillId="4" borderId="0" xfId="0" applyFont="1" applyFill="1"/>
    <xf numFmtId="0" fontId="0" fillId="4" borderId="0" xfId="0" applyFill="1" applyAlignment="1">
      <alignment horizontal="center"/>
    </xf>
    <xf numFmtId="2" fontId="0" fillId="4" borderId="0" xfId="0" quotePrefix="1" applyNumberFormat="1" applyFill="1" applyAlignment="1">
      <alignment horizontal="center"/>
    </xf>
    <xf numFmtId="0" fontId="5" fillId="4" borderId="0" xfId="0" applyFont="1" applyFill="1" applyAlignment="1">
      <alignment horizontal="center"/>
    </xf>
    <xf numFmtId="0" fontId="5" fillId="4" borderId="0" xfId="0" quotePrefix="1" applyNumberFormat="1" applyFont="1" applyFill="1" applyAlignment="1">
      <alignment horizontal="center"/>
    </xf>
    <xf numFmtId="0" fontId="8" fillId="4" borderId="0" xfId="2" applyFont="1" applyFill="1" applyAlignment="1" applyProtection="1"/>
    <xf numFmtId="0" fontId="0" fillId="4" borderId="0" xfId="0" applyFill="1" applyAlignment="1">
      <alignment horizontal="centerContinuous"/>
    </xf>
    <xf numFmtId="0" fontId="9" fillId="4" borderId="0" xfId="0" applyFont="1" applyFill="1" applyAlignment="1">
      <alignment horizontal="centerContinuous"/>
    </xf>
    <xf numFmtId="0" fontId="6" fillId="3" borderId="1" xfId="0" applyFont="1" applyFill="1" applyBorder="1" applyAlignment="1">
      <alignment horizontal="center"/>
    </xf>
    <xf numFmtId="0" fontId="6" fillId="3" borderId="3" xfId="0" applyFont="1" applyFill="1" applyBorder="1" applyAlignment="1">
      <alignment horizontal="center"/>
    </xf>
    <xf numFmtId="0" fontId="13" fillId="4" borderId="0" xfId="0" applyFont="1" applyFill="1"/>
    <xf numFmtId="0" fontId="15" fillId="4" borderId="0" xfId="2" applyFont="1" applyFill="1" applyAlignment="1" applyProtection="1"/>
    <xf numFmtId="0" fontId="14" fillId="4" borderId="0" xfId="0" applyFont="1" applyFill="1" applyAlignment="1">
      <alignment horizontal="right"/>
    </xf>
    <xf numFmtId="0" fontId="17" fillId="4" borderId="0" xfId="0" applyFont="1" applyFill="1" applyAlignment="1">
      <alignment horizontal="centerContinuous"/>
    </xf>
    <xf numFmtId="0" fontId="1" fillId="4" borderId="0" xfId="0" applyFont="1" applyFill="1"/>
    <xf numFmtId="0" fontId="1" fillId="0" borderId="0" xfId="0" applyFont="1"/>
    <xf numFmtId="0" fontId="16" fillId="3" borderId="1" xfId="1" applyFont="1" applyFill="1" applyBorder="1"/>
    <xf numFmtId="0" fontId="16" fillId="3" borderId="2" xfId="1" applyFont="1" applyFill="1" applyBorder="1"/>
    <xf numFmtId="3" fontId="16" fillId="3" borderId="3" xfId="1" applyNumberFormat="1" applyFont="1" applyFill="1" applyBorder="1"/>
    <xf numFmtId="0" fontId="16" fillId="3" borderId="4" xfId="1" applyFont="1" applyFill="1" applyBorder="1" applyAlignment="1">
      <alignment horizontal="center"/>
    </xf>
    <xf numFmtId="0" fontId="16" fillId="3" borderId="5" xfId="1" applyFont="1" applyFill="1" applyBorder="1" applyAlignment="1">
      <alignment horizontal="center"/>
    </xf>
    <xf numFmtId="0" fontId="16" fillId="3" borderId="6" xfId="1" applyFont="1" applyFill="1" applyBorder="1" applyAlignment="1">
      <alignment horizontal="center"/>
    </xf>
    <xf numFmtId="0" fontId="0" fillId="4" borderId="0" xfId="0" applyFont="1" applyFill="1"/>
    <xf numFmtId="0" fontId="0" fillId="4" borderId="0" xfId="0" applyFont="1" applyFill="1" applyAlignment="1">
      <alignment horizontal="center"/>
    </xf>
    <xf numFmtId="2" fontId="0" fillId="4" borderId="0" xfId="0" quotePrefix="1" applyNumberFormat="1" applyFont="1" applyFill="1" applyAlignment="1">
      <alignment horizontal="center"/>
    </xf>
    <xf numFmtId="0" fontId="0" fillId="0" borderId="0" xfId="0" applyFont="1"/>
    <xf numFmtId="0" fontId="12" fillId="4" borderId="7" xfId="0" applyFont="1" applyFill="1" applyBorder="1" applyAlignment="1">
      <alignment horizontal="centerContinuous"/>
    </xf>
    <xf numFmtId="0" fontId="0" fillId="4" borderId="8" xfId="0" applyFill="1" applyBorder="1" applyAlignment="1">
      <alignment horizontal="centerContinuous"/>
    </xf>
    <xf numFmtId="0" fontId="0" fillId="4" borderId="8" xfId="0" applyFill="1" applyBorder="1"/>
    <xf numFmtId="0" fontId="0" fillId="4" borderId="9" xfId="0" applyFill="1" applyBorder="1"/>
    <xf numFmtId="0" fontId="12" fillId="4" borderId="10" xfId="0" applyFont="1" applyFill="1" applyBorder="1" applyAlignment="1">
      <alignment horizontal="centerContinuous"/>
    </xf>
    <xf numFmtId="0" fontId="0" fillId="4" borderId="0" xfId="0" applyFill="1" applyBorder="1" applyAlignment="1">
      <alignment horizontal="centerContinuous"/>
    </xf>
    <xf numFmtId="0" fontId="0" fillId="4" borderId="0" xfId="0" applyFill="1" applyBorder="1"/>
    <xf numFmtId="0" fontId="0" fillId="4" borderId="11" xfId="0" applyFill="1" applyBorder="1"/>
    <xf numFmtId="0" fontId="17" fillId="4" borderId="10" xfId="0" applyFont="1" applyFill="1" applyBorder="1" applyAlignment="1">
      <alignment horizontal="centerContinuous"/>
    </xf>
    <xf numFmtId="0" fontId="1" fillId="4" borderId="0" xfId="0" applyFont="1" applyFill="1" applyBorder="1" applyAlignment="1">
      <alignment horizontal="centerContinuous"/>
    </xf>
    <xf numFmtId="0" fontId="1" fillId="4" borderId="0" xfId="0" applyFont="1" applyFill="1" applyBorder="1"/>
    <xf numFmtId="0" fontId="17" fillId="4" borderId="0" xfId="0" applyFont="1" applyFill="1" applyBorder="1" applyAlignment="1">
      <alignment horizontal="centerContinuous"/>
    </xf>
    <xf numFmtId="0" fontId="1" fillId="4" borderId="11" xfId="0" applyFont="1" applyFill="1" applyBorder="1"/>
    <xf numFmtId="0" fontId="0" fillId="4" borderId="10" xfId="0" applyFill="1" applyBorder="1"/>
    <xf numFmtId="0" fontId="18" fillId="4" borderId="0" xfId="0" applyFont="1" applyFill="1" applyBorder="1" applyAlignment="1">
      <alignment horizontal="right"/>
    </xf>
    <xf numFmtId="0" fontId="19" fillId="4" borderId="0" xfId="0" applyFont="1" applyFill="1" applyBorder="1"/>
    <xf numFmtId="0" fontId="22" fillId="4" borderId="0" xfId="2" applyFont="1" applyFill="1" applyBorder="1" applyAlignment="1" applyProtection="1"/>
    <xf numFmtId="0" fontId="21" fillId="4" borderId="0" xfId="0" applyFont="1" applyFill="1" applyBorder="1"/>
    <xf numFmtId="0" fontId="0" fillId="4" borderId="10" xfId="0" applyFont="1" applyFill="1" applyBorder="1"/>
    <xf numFmtId="0" fontId="0" fillId="4" borderId="0" xfId="0" applyFont="1" applyFill="1" applyBorder="1"/>
    <xf numFmtId="0" fontId="3" fillId="4" borderId="0" xfId="0" applyFont="1" applyFill="1" applyBorder="1" applyAlignment="1">
      <alignment horizontal="right"/>
    </xf>
    <xf numFmtId="0" fontId="0" fillId="4" borderId="11" xfId="0" applyFont="1" applyFill="1" applyBorder="1"/>
    <xf numFmtId="0" fontId="0" fillId="4" borderId="12" xfId="0" applyFill="1" applyBorder="1"/>
    <xf numFmtId="0" fontId="0" fillId="4" borderId="13" xfId="0" applyFill="1" applyBorder="1"/>
    <xf numFmtId="0" fontId="0" fillId="4" borderId="14" xfId="0" applyFill="1" applyBorder="1"/>
    <xf numFmtId="0" fontId="6" fillId="3" borderId="21" xfId="0" applyFont="1" applyFill="1" applyBorder="1" applyAlignment="1">
      <alignment horizontal="center"/>
    </xf>
    <xf numFmtId="0" fontId="6" fillId="3" borderId="22" xfId="0" applyFont="1" applyFill="1" applyBorder="1" applyAlignment="1">
      <alignment horizontal="center"/>
    </xf>
    <xf numFmtId="0" fontId="6" fillId="3" borderId="23" xfId="0" applyFont="1" applyFill="1" applyBorder="1" applyAlignment="1">
      <alignment horizontal="center"/>
    </xf>
    <xf numFmtId="0" fontId="3" fillId="4" borderId="0" xfId="0" applyFont="1" applyFill="1" applyBorder="1" applyAlignment="1">
      <alignment horizontal="center"/>
    </xf>
    <xf numFmtId="0" fontId="23" fillId="4" borderId="0" xfId="2" applyFont="1" applyFill="1" applyBorder="1" applyAlignment="1" applyProtection="1"/>
    <xf numFmtId="0" fontId="0" fillId="3" borderId="0" xfId="0" applyFill="1"/>
    <xf numFmtId="0" fontId="3" fillId="4" borderId="0" xfId="0" applyFont="1" applyFill="1" applyAlignment="1">
      <alignment horizontal="center"/>
    </xf>
    <xf numFmtId="0" fontId="0" fillId="4" borderId="15" xfId="0" applyFill="1" applyBorder="1"/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0" fontId="0" fillId="4" borderId="19" xfId="0" applyFill="1" applyBorder="1"/>
    <xf numFmtId="0" fontId="0" fillId="4" borderId="25" xfId="0" applyFill="1" applyBorder="1"/>
    <xf numFmtId="0" fontId="0" fillId="4" borderId="20" xfId="0" applyFill="1" applyBorder="1"/>
    <xf numFmtId="0" fontId="3" fillId="4" borderId="0" xfId="0" applyFont="1" applyFill="1" applyBorder="1"/>
    <xf numFmtId="0" fontId="0" fillId="5" borderId="15" xfId="0" applyFill="1" applyBorder="1"/>
    <xf numFmtId="0" fontId="0" fillId="5" borderId="24" xfId="0" applyFill="1" applyBorder="1"/>
    <xf numFmtId="0" fontId="0" fillId="5" borderId="16" xfId="0" applyFill="1" applyBorder="1"/>
    <xf numFmtId="0" fontId="0" fillId="5" borderId="17" xfId="0" applyFill="1" applyBorder="1"/>
    <xf numFmtId="0" fontId="0" fillId="5" borderId="0" xfId="0" applyFill="1" applyBorder="1"/>
    <xf numFmtId="0" fontId="0" fillId="5" borderId="18" xfId="0" applyFill="1" applyBorder="1"/>
    <xf numFmtId="0" fontId="0" fillId="5" borderId="19" xfId="0" applyFill="1" applyBorder="1"/>
    <xf numFmtId="0" fontId="0" fillId="5" borderId="25" xfId="0" applyFill="1" applyBorder="1"/>
    <xf numFmtId="0" fontId="0" fillId="5" borderId="20" xfId="0" applyFill="1" applyBorder="1"/>
    <xf numFmtId="0" fontId="13" fillId="4" borderId="0" xfId="0" applyFont="1" applyFill="1" applyBorder="1" applyAlignment="1">
      <alignment horizontal="right"/>
    </xf>
    <xf numFmtId="0" fontId="0" fillId="4" borderId="0" xfId="0" applyFill="1" applyAlignment="1">
      <alignment horizontal="right"/>
    </xf>
  </cellXfs>
  <cellStyles count="4">
    <cellStyle name="Good" xfId="1" builtinId="26"/>
    <cellStyle name="Hyperlink" xfId="2" builtinId="8"/>
    <cellStyle name="Normal" xfId="0" builtinId="0"/>
    <cellStyle name="Normal 2" xfId="3" xr:uid="{00000000-0005-0000-0000-000003000000}"/>
  </cellStyles>
  <dxfs count="0"/>
  <tableStyles count="0" defaultTableStyle="TableStyleMedium9" defaultPivotStyle="PivotStyleLight16"/>
  <colors>
    <mruColors>
      <color rgb="FF0000FF"/>
      <color rgb="FFFFFE00"/>
      <color rgb="FF58585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FD181E0-5E2F-11CE-A449-00AA004A803D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314804001438027E-2"/>
          <c:y val="3.1362405178753459E-2"/>
          <c:w val="0.91599994438751264"/>
          <c:h val="0.93762335668108954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E8C2-4A45-BE84-A90F54FA7006}"/>
              </c:ext>
            </c:extLst>
          </c:dPt>
          <c:xVal>
            <c:numRef>
              <c:f>[0]!pp1x</c:f>
              <c:numCache>
                <c:formatCode>General</c:formatCode>
                <c:ptCount val="2"/>
                <c:pt idx="0">
                  <c:v>0</c:v>
                </c:pt>
                <c:pt idx="1">
                  <c:v>-6.542597010646765</c:v>
                </c:pt>
              </c:numCache>
            </c:numRef>
          </c:xVal>
          <c:yVal>
            <c:numRef>
              <c:f>[0]!pp1y</c:f>
              <c:numCache>
                <c:formatCode>General</c:formatCode>
                <c:ptCount val="2"/>
                <c:pt idx="0">
                  <c:v>-88</c:v>
                </c:pt>
                <c:pt idx="1">
                  <c:v>-87.999999999999986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8C2-4A45-BE84-A90F54FA7006}"/>
            </c:ext>
          </c:extLst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E8C2-4A45-BE84-A90F54FA7006}"/>
              </c:ext>
            </c:extLst>
          </c:dPt>
          <c:xVal>
            <c:numRef>
              <c:f>[0]!pp2x</c:f>
              <c:numCache>
                <c:formatCode>General</c:formatCode>
                <c:ptCount val="2"/>
                <c:pt idx="0">
                  <c:v>0</c:v>
                </c:pt>
                <c:pt idx="1">
                  <c:v>-7.3439073042123217</c:v>
                </c:pt>
              </c:numCache>
            </c:numRef>
          </c:xVal>
          <c:yVal>
            <c:numRef>
              <c:f>[0]!pp2y</c:f>
              <c:numCache>
                <c:formatCode>General</c:formatCode>
                <c:ptCount val="2"/>
                <c:pt idx="0">
                  <c:v>-77</c:v>
                </c:pt>
                <c:pt idx="1">
                  <c:v>-76.999999999999986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8C2-4A45-BE84-A90F54FA7006}"/>
            </c:ext>
          </c:extLst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E8C2-4A45-BE84-A90F54FA7006}"/>
              </c:ext>
            </c:extLst>
          </c:dPt>
          <c:xVal>
            <c:numRef>
              <c:f>[0]!pp3x</c:f>
              <c:numCache>
                <c:formatCode>General</c:formatCode>
                <c:ptCount val="2"/>
                <c:pt idx="0">
                  <c:v>0</c:v>
                </c:pt>
                <c:pt idx="1">
                  <c:v>-7.5286935527240582</c:v>
                </c:pt>
              </c:numCache>
            </c:numRef>
          </c:xVal>
          <c:yVal>
            <c:numRef>
              <c:f>[0]!pp3y</c:f>
              <c:numCache>
                <c:formatCode>General</c:formatCode>
                <c:ptCount val="2"/>
                <c:pt idx="0">
                  <c:v>-66</c:v>
                </c:pt>
                <c:pt idx="1">
                  <c:v>-65.999999999999986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8C2-4A45-BE84-A90F54FA7006}"/>
            </c:ext>
          </c:extLst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E8C2-4A45-BE84-A90F54FA7006}"/>
              </c:ext>
            </c:extLst>
          </c:dPt>
          <c:xVal>
            <c:numRef>
              <c:f>[0]!pp4x</c:f>
              <c:numCache>
                <c:formatCode>General</c:formatCode>
                <c:ptCount val="2"/>
                <c:pt idx="0">
                  <c:v>0</c:v>
                </c:pt>
                <c:pt idx="1">
                  <c:v>-7.2265323682086349</c:v>
                </c:pt>
              </c:numCache>
            </c:numRef>
          </c:xVal>
          <c:yVal>
            <c:numRef>
              <c:f>[0]!pp4y</c:f>
              <c:numCache>
                <c:formatCode>General</c:formatCode>
                <c:ptCount val="2"/>
                <c:pt idx="0">
                  <c:v>-55</c:v>
                </c:pt>
                <c:pt idx="1">
                  <c:v>-54.999999999999993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E8C2-4A45-BE84-A90F54FA7006}"/>
            </c:ext>
          </c:extLst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E8C2-4A45-BE84-A90F54FA7006}"/>
              </c:ext>
            </c:extLst>
          </c:dPt>
          <c:xVal>
            <c:numRef>
              <c:f>[0]!pp5x</c:f>
              <c:numCache>
                <c:formatCode>General</c:formatCode>
                <c:ptCount val="2"/>
                <c:pt idx="0">
                  <c:v>0</c:v>
                </c:pt>
                <c:pt idx="1">
                  <c:v>-6.5559515023204344</c:v>
                </c:pt>
              </c:numCache>
            </c:numRef>
          </c:xVal>
          <c:yVal>
            <c:numRef>
              <c:f>[0]!pp5y</c:f>
              <c:numCache>
                <c:formatCode>General</c:formatCode>
                <c:ptCount val="2"/>
                <c:pt idx="0">
                  <c:v>-44</c:v>
                </c:pt>
                <c:pt idx="1">
                  <c:v>-43.999999999999993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E8C2-4A45-BE84-A90F54FA7006}"/>
            </c:ext>
          </c:extLst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58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E8C2-4A45-BE84-A90F54FA7006}"/>
              </c:ext>
            </c:extLst>
          </c:dPt>
          <c:xVal>
            <c:numRef>
              <c:f>[0]!pp6x</c:f>
              <c:numCache>
                <c:formatCode>General</c:formatCode>
                <c:ptCount val="2"/>
                <c:pt idx="0">
                  <c:v>0</c:v>
                </c:pt>
                <c:pt idx="1">
                  <c:v>-5.6238899417901909</c:v>
                </c:pt>
              </c:numCache>
            </c:numRef>
          </c:xVal>
          <c:yVal>
            <c:numRef>
              <c:f>[0]!pp6y</c:f>
              <c:numCache>
                <c:formatCode>General</c:formatCode>
                <c:ptCount val="2"/>
                <c:pt idx="0">
                  <c:v>-33</c:v>
                </c:pt>
                <c:pt idx="1">
                  <c:v>-32.999999999999993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E8C2-4A45-BE84-A90F54FA7006}"/>
            </c:ext>
          </c:extLst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E8C2-4A45-BE84-A90F54FA7006}"/>
              </c:ext>
            </c:extLst>
          </c:dPt>
          <c:xVal>
            <c:numRef>
              <c:f>[0]!pp7x</c:f>
              <c:numCache>
                <c:formatCode>General</c:formatCode>
                <c:ptCount val="2"/>
                <c:pt idx="0">
                  <c:v>0</c:v>
                </c:pt>
                <c:pt idx="1">
                  <c:v>-4.5258608609113802</c:v>
                </c:pt>
              </c:numCache>
            </c:numRef>
          </c:xVal>
          <c:yVal>
            <c:numRef>
              <c:f>[0]!pp7y</c:f>
              <c:numCache>
                <c:formatCode>General</c:formatCode>
                <c:ptCount val="2"/>
                <c:pt idx="0">
                  <c:v>-22</c:v>
                </c:pt>
                <c:pt idx="1">
                  <c:v>-21.999999999999993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E8C2-4A45-BE84-A90F54FA7006}"/>
            </c:ext>
          </c:extLst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E8C2-4A45-BE84-A90F54FA7006}"/>
              </c:ext>
            </c:extLst>
          </c:dPt>
          <c:xVal>
            <c:numRef>
              <c:f>[0]!pp8x</c:f>
              <c:numCache>
                <c:formatCode>General</c:formatCode>
                <c:ptCount val="2"/>
                <c:pt idx="0">
                  <c:v>0</c:v>
                </c:pt>
                <c:pt idx="1">
                  <c:v>-3.3464872476727043</c:v>
                </c:pt>
              </c:numCache>
            </c:numRef>
          </c:xVal>
          <c:yVal>
            <c:numRef>
              <c:f>[0]!pp8y</c:f>
              <c:numCache>
                <c:formatCode>General</c:formatCode>
                <c:ptCount val="2"/>
                <c:pt idx="0">
                  <c:v>-11</c:v>
                </c:pt>
                <c:pt idx="1">
                  <c:v>-10.999999999999995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E8C2-4A45-BE84-A90F54FA7006}"/>
            </c:ext>
          </c:extLst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E8C2-4A45-BE84-A90F54FA7006}"/>
              </c:ext>
            </c:extLst>
          </c:dPt>
          <c:xVal>
            <c:numRef>
              <c:f>[0]!pp9x</c:f>
              <c:numCache>
                <c:formatCode>General</c:formatCode>
                <c:ptCount val="2"/>
                <c:pt idx="0">
                  <c:v>0</c:v>
                </c:pt>
                <c:pt idx="1">
                  <c:v>-2.1598834173385222</c:v>
                </c:pt>
              </c:numCache>
            </c:numRef>
          </c:xVal>
          <c:yVal>
            <c:numRef>
              <c:f>[0]!pp9y</c:f>
              <c:numCache>
                <c:formatCode>General</c:formatCode>
                <c:ptCount val="2"/>
                <c:pt idx="0">
                  <c:v>0</c:v>
                </c:pt>
                <c:pt idx="1">
                  <c:v>4.7804300623639253E-15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E8C2-4A45-BE84-A90F54FA7006}"/>
            </c:ext>
          </c:extLst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E8C2-4A45-BE84-A90F54FA7006}"/>
              </c:ext>
            </c:extLst>
          </c:dPt>
          <c:xVal>
            <c:numRef>
              <c:f>[0]!pp10x</c:f>
              <c:numCache>
                <c:formatCode>General</c:formatCode>
                <c:ptCount val="2"/>
                <c:pt idx="0">
                  <c:v>0</c:v>
                </c:pt>
                <c:pt idx="1">
                  <c:v>-1.0295008938668577</c:v>
                </c:pt>
              </c:numCache>
            </c:numRef>
          </c:xVal>
          <c:yVal>
            <c:numRef>
              <c:f>[0]!pp10y</c:f>
              <c:numCache>
                <c:formatCode>General</c:formatCode>
                <c:ptCount val="2"/>
                <c:pt idx="0">
                  <c:v>11</c:v>
                </c:pt>
                <c:pt idx="1">
                  <c:v>11.000000000000004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E8C2-4A45-BE84-A90F54FA7006}"/>
            </c:ext>
          </c:extLst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E8C2-4A45-BE84-A90F54FA7006}"/>
              </c:ext>
            </c:extLst>
          </c:dPt>
          <c:xVal>
            <c:numRef>
              <c:f>[0]!pp11x</c:f>
              <c:numCache>
                <c:formatCode>General</c:formatCode>
                <c:ptCount val="2"/>
                <c:pt idx="0">
                  <c:v>0</c:v>
                </c:pt>
                <c:pt idx="1">
                  <c:v>-7.4070310244484265E-3</c:v>
                </c:pt>
              </c:numCache>
            </c:numRef>
          </c:xVal>
          <c:yVal>
            <c:numRef>
              <c:f>[0]!pp11y</c:f>
              <c:numCache>
                <c:formatCode>General</c:formatCode>
                <c:ptCount val="2"/>
                <c:pt idx="0">
                  <c:v>22</c:v>
                </c:pt>
                <c:pt idx="1">
                  <c:v>22.000000000000004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E8C2-4A45-BE84-A90F54FA7006}"/>
            </c:ext>
          </c:extLst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E8C2-4A45-BE84-A90F54FA7006}"/>
              </c:ext>
            </c:extLst>
          </c:dPt>
          <c:xVal>
            <c:numRef>
              <c:f>[0]!pp12x</c:f>
              <c:numCache>
                <c:formatCode>General</c:formatCode>
                <c:ptCount val="2"/>
                <c:pt idx="0">
                  <c:v>0</c:v>
                </c:pt>
                <c:pt idx="1">
                  <c:v>0.86667752456362845</c:v>
                </c:pt>
              </c:numCache>
            </c:numRef>
          </c:xVal>
          <c:yVal>
            <c:numRef>
              <c:f>[0]!pp12y</c:f>
              <c:numCache>
                <c:formatCode>General</c:formatCode>
                <c:ptCount val="2"/>
                <c:pt idx="0">
                  <c:v>33</c:v>
                </c:pt>
                <c:pt idx="1">
                  <c:v>33.000000000000007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E8C2-4A45-BE84-A90F54FA7006}"/>
            </c:ext>
          </c:extLst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E8C2-4A45-BE84-A90F54FA7006}"/>
              </c:ext>
            </c:extLst>
          </c:dPt>
          <c:xVal>
            <c:numRef>
              <c:f>[0]!pp13x</c:f>
              <c:numCache>
                <c:formatCode>General</c:formatCode>
                <c:ptCount val="2"/>
                <c:pt idx="0">
                  <c:v>0</c:v>
                </c:pt>
                <c:pt idx="1">
                  <c:v>1.5660656928416008</c:v>
                </c:pt>
              </c:numCache>
            </c:numRef>
          </c:xVal>
          <c:yVal>
            <c:numRef>
              <c:f>[0]!pp13y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E8C2-4A45-BE84-A90F54FA7006}"/>
            </c:ext>
          </c:extLst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tint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E8C2-4A45-BE84-A90F54FA7006}"/>
              </c:ext>
            </c:extLst>
          </c:dPt>
          <c:xVal>
            <c:numRef>
              <c:f>[0]!pp14x</c:f>
              <c:numCache>
                <c:formatCode>General</c:formatCode>
                <c:ptCount val="2"/>
                <c:pt idx="0">
                  <c:v>0</c:v>
                </c:pt>
                <c:pt idx="1">
                  <c:v>2.0770552040183397</c:v>
                </c:pt>
              </c:numCache>
            </c:numRef>
          </c:xVal>
          <c:yVal>
            <c:numRef>
              <c:f>[0]!pp14y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E8C2-4A45-BE84-A90F54FA7006}"/>
            </c:ext>
          </c:extLst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FE00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E8C2-4A45-BE84-A90F54FA7006}"/>
              </c:ext>
            </c:extLst>
          </c:dPt>
          <c:xVal>
            <c:numRef>
              <c:f>[0]!pp15x</c:f>
              <c:numCache>
                <c:formatCode>General</c:formatCode>
                <c:ptCount val="2"/>
                <c:pt idx="0">
                  <c:v>0</c:v>
                </c:pt>
                <c:pt idx="1">
                  <c:v>2.3979455843331512</c:v>
                </c:pt>
              </c:numCache>
            </c:numRef>
          </c:xVal>
          <c:yVal>
            <c:numRef>
              <c:f>[0]!pp15y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E8C2-4A45-BE84-A90F54FA7006}"/>
            </c:ext>
          </c:extLst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7F7F7F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86000"/>
                </a:srgbClr>
              </a:solidFill>
              <a:ln w="6350" cap="rnd" cmpd="sng" algn="ctr">
                <a:solidFill>
                  <a:srgbClr val="7F7F7F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E8C2-4A45-BE84-A90F54FA700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00FF"/>
                </a:solidFill>
                <a:ln w="6350" cap="rnd" cmpd="sng" algn="ctr">
                  <a:solidFill>
                    <a:srgbClr val="7F7F7F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E8C2-4A45-BE84-A90F54FA7006}"/>
              </c:ext>
            </c:extLst>
          </c:dPt>
          <c:xVal>
            <c:numRef>
              <c:f>[0]!pp16x</c:f>
              <c:numCache>
                <c:formatCode>General</c:formatCode>
                <c:ptCount val="2"/>
                <c:pt idx="0">
                  <c:v>0</c:v>
                </c:pt>
                <c:pt idx="1">
                  <c:v>2.5372514145044116</c:v>
                </c:pt>
              </c:numCache>
            </c:numRef>
          </c:xVal>
          <c:yVal>
            <c:numRef>
              <c:f>[0]!pp16y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E8C2-4A45-BE84-A90F54FA7006}"/>
            </c:ext>
          </c:extLst>
        </c:ser>
        <c:ser>
          <c:idx val="16"/>
          <c:order val="16"/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E8C2-4A45-BE84-A90F54FA700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E8C2-4A45-BE84-A90F54FA700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E8C2-4A45-BE84-A90F54FA700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Pendulum!$AB$42:$AB$49</c:f>
              <c:numCache>
                <c:formatCode>General</c:formatCode>
                <c:ptCount val="8"/>
                <c:pt idx="0">
                  <c:v>-50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Pendulum!$AC$42:$AC$49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9.1886134118146501E-15</c:v>
                </c:pt>
                <c:pt idx="4">
                  <c:v>-9.1886134118146501E-15</c:v>
                </c:pt>
                <c:pt idx="5">
                  <c:v>0</c:v>
                </c:pt>
                <c:pt idx="6">
                  <c:v>-50</c:v>
                </c:pt>
                <c:pt idx="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E8C2-4A45-BE84-A90F54FA7006}"/>
            </c:ext>
          </c:extLst>
        </c:ser>
        <c:ser>
          <c:idx val="17"/>
          <c:order val="17"/>
          <c:tx>
            <c:v>Cage</c:v>
          </c:tx>
          <c:spPr>
            <a:ln w="41275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Pendulum!$AB$72:$AB$87</c:f>
              <c:numCache>
                <c:formatCode>General</c:formatCode>
                <c:ptCount val="16"/>
                <c:pt idx="0">
                  <c:v>0</c:v>
                </c:pt>
                <c:pt idx="1">
                  <c:v>-40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-40</c:v>
                </c:pt>
                <c:pt idx="13">
                  <c:v>-40</c:v>
                </c:pt>
                <c:pt idx="14">
                  <c:v>40</c:v>
                </c:pt>
                <c:pt idx="15">
                  <c:v>40</c:v>
                </c:pt>
              </c:numCache>
            </c:numRef>
          </c:xVal>
          <c:yVal>
            <c:numRef>
              <c:f>Pendulum!$AC$72:$AC$87</c:f>
              <c:numCache>
                <c:formatCode>General</c:formatCode>
                <c:ptCount val="16"/>
                <c:pt idx="0">
                  <c:v>-90</c:v>
                </c:pt>
                <c:pt idx="1">
                  <c:v>-89.999999999999986</c:v>
                </c:pt>
                <c:pt idx="2">
                  <c:v>-89.999999999999986</c:v>
                </c:pt>
                <c:pt idx="3">
                  <c:v>-90</c:v>
                </c:pt>
                <c:pt idx="4">
                  <c:v>0</c:v>
                </c:pt>
                <c:pt idx="5">
                  <c:v>80</c:v>
                </c:pt>
                <c:pt idx="6">
                  <c:v>80.000000000000014</c:v>
                </c:pt>
                <c:pt idx="7">
                  <c:v>80.000000000000014</c:v>
                </c:pt>
                <c:pt idx="8">
                  <c:v>80</c:v>
                </c:pt>
                <c:pt idx="9">
                  <c:v>0</c:v>
                </c:pt>
                <c:pt idx="10">
                  <c:v>-90</c:v>
                </c:pt>
                <c:pt idx="11">
                  <c:v>80</c:v>
                </c:pt>
                <c:pt idx="12">
                  <c:v>80.000000000000014</c:v>
                </c:pt>
                <c:pt idx="13">
                  <c:v>-89.999999999999986</c:v>
                </c:pt>
                <c:pt idx="14">
                  <c:v>-89.999999999999986</c:v>
                </c:pt>
                <c:pt idx="15">
                  <c:v>80.000000000000014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E8C2-4A45-BE84-A90F54FA70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46848"/>
        <c:axId val="236447424"/>
      </c:scatterChart>
      <c:valAx>
        <c:axId val="236446848"/>
        <c:scaling>
          <c:orientation val="minMax"/>
          <c:max val="100"/>
          <c:min val="-100"/>
        </c:scaling>
        <c:delete val="1"/>
        <c:axPos val="b"/>
        <c:numFmt formatCode="General" sourceLinked="1"/>
        <c:majorTickMark val="out"/>
        <c:minorTickMark val="none"/>
        <c:tickLblPos val="none"/>
        <c:crossAx val="236447424"/>
        <c:crosses val="autoZero"/>
        <c:crossBetween val="midCat"/>
      </c:valAx>
      <c:valAx>
        <c:axId val="236447424"/>
        <c:scaling>
          <c:orientation val="minMax"/>
          <c:max val="100"/>
          <c:min val="-100"/>
        </c:scaling>
        <c:delete val="1"/>
        <c:axPos val="l"/>
        <c:numFmt formatCode="General" sourceLinked="1"/>
        <c:majorTickMark val="out"/>
        <c:minorTickMark val="none"/>
        <c:tickLblPos val="none"/>
        <c:crossAx val="23644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1314804001438027E-2"/>
          <c:y val="3.1362405178753459E-2"/>
          <c:w val="0.91599994438751264"/>
          <c:h val="0.93762335668108954"/>
        </c:manualLayout>
      </c:layout>
      <c:scatterChart>
        <c:scatterStyle val="lineMarker"/>
        <c:varyColors val="0"/>
        <c:ser>
          <c:idx val="0"/>
          <c:order val="0"/>
          <c:tx>
            <c:v>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0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0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2-141B-4788-A1E0-0380C8CC8BB6}"/>
              </c:ext>
            </c:extLst>
          </c:dPt>
          <c:xVal>
            <c:numRef>
              <c:f>[0]!pp1x</c:f>
              <c:numCache>
                <c:formatCode>General</c:formatCode>
                <c:ptCount val="2"/>
                <c:pt idx="0">
                  <c:v>0</c:v>
                </c:pt>
                <c:pt idx="1">
                  <c:v>-6.542597010646765</c:v>
                </c:pt>
              </c:numCache>
            </c:numRef>
          </c:xVal>
          <c:yVal>
            <c:numRef>
              <c:f>[0]!pp1y</c:f>
              <c:numCache>
                <c:formatCode>General</c:formatCode>
                <c:ptCount val="2"/>
                <c:pt idx="0">
                  <c:v>-88</c:v>
                </c:pt>
                <c:pt idx="1">
                  <c:v>-87.999999999999986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41B-4788-A1E0-0380C8CC8BB6}"/>
            </c:ext>
          </c:extLst>
        </c:ser>
        <c:ser>
          <c:idx val="1"/>
          <c:order val="1"/>
          <c:tx>
            <c:v>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4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803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5-141B-4788-A1E0-0380C8CC8BB6}"/>
              </c:ext>
            </c:extLst>
          </c:dPt>
          <c:xVal>
            <c:numRef>
              <c:f>[0]!pp2x</c:f>
              <c:numCache>
                <c:formatCode>General</c:formatCode>
                <c:ptCount val="2"/>
                <c:pt idx="0">
                  <c:v>0</c:v>
                </c:pt>
                <c:pt idx="1">
                  <c:v>-7.3439073042123217</c:v>
                </c:pt>
              </c:numCache>
            </c:numRef>
          </c:xVal>
          <c:yVal>
            <c:numRef>
              <c:f>[0]!pp2y</c:f>
              <c:numCache>
                <c:formatCode>General</c:formatCode>
                <c:ptCount val="2"/>
                <c:pt idx="0">
                  <c:v>-77</c:v>
                </c:pt>
                <c:pt idx="1">
                  <c:v>-76.999999999999986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41B-4788-A1E0-0380C8CC8BB6}"/>
            </c:ext>
          </c:extLst>
        </c:ser>
        <c:ser>
          <c:idx val="2"/>
          <c:order val="2"/>
          <c:tx>
            <c:v>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7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7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8-141B-4788-A1E0-0380C8CC8BB6}"/>
              </c:ext>
            </c:extLst>
          </c:dPt>
          <c:xVal>
            <c:numRef>
              <c:f>[0]!pp3x</c:f>
              <c:numCache>
                <c:formatCode>General</c:formatCode>
                <c:ptCount val="2"/>
                <c:pt idx="0">
                  <c:v>0</c:v>
                </c:pt>
                <c:pt idx="1">
                  <c:v>-7.5286935527240582</c:v>
                </c:pt>
              </c:numCache>
            </c:numRef>
          </c:xVal>
          <c:yVal>
            <c:numRef>
              <c:f>[0]!pp3y</c:f>
              <c:numCache>
                <c:formatCode>General</c:formatCode>
                <c:ptCount val="2"/>
                <c:pt idx="0">
                  <c:v>-66</c:v>
                </c:pt>
                <c:pt idx="1">
                  <c:v>-65.999999999999986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41B-4788-A1E0-0380C8CC8BB6}"/>
            </c:ext>
          </c:extLst>
        </c:ser>
        <c:ser>
          <c:idx val="3"/>
          <c:order val="3"/>
          <c:tx>
            <c:v>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A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7FBF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B-141B-4788-A1E0-0380C8CC8BB6}"/>
              </c:ext>
            </c:extLst>
          </c:dPt>
          <c:xVal>
            <c:numRef>
              <c:f>[0]!pp4x</c:f>
              <c:numCache>
                <c:formatCode>General</c:formatCode>
                <c:ptCount val="2"/>
                <c:pt idx="0">
                  <c:v>0</c:v>
                </c:pt>
                <c:pt idx="1">
                  <c:v>-7.2265323682086349</c:v>
                </c:pt>
              </c:numCache>
            </c:numRef>
          </c:xVal>
          <c:yVal>
            <c:numRef>
              <c:f>[0]!pp4y</c:f>
              <c:numCache>
                <c:formatCode>General</c:formatCode>
                <c:ptCount val="2"/>
                <c:pt idx="0">
                  <c:v>-55</c:v>
                </c:pt>
                <c:pt idx="1">
                  <c:v>-54.999999999999993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C-141B-4788-A1E0-0380C8CC8BB6}"/>
            </c:ext>
          </c:extLst>
        </c:ser>
        <c:ser>
          <c:idx val="4"/>
          <c:order val="4"/>
          <c:tx>
            <c:v>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0D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1FE00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E-141B-4788-A1E0-0380C8CC8BB6}"/>
              </c:ext>
            </c:extLst>
          </c:dPt>
          <c:xVal>
            <c:numRef>
              <c:f>[0]!pp5x</c:f>
              <c:numCache>
                <c:formatCode>General</c:formatCode>
                <c:ptCount val="2"/>
                <c:pt idx="0">
                  <c:v>0</c:v>
                </c:pt>
                <c:pt idx="1">
                  <c:v>-6.5559515023204344</c:v>
                </c:pt>
              </c:numCache>
            </c:numRef>
          </c:xVal>
          <c:yVal>
            <c:numRef>
              <c:f>[0]!pp5y</c:f>
              <c:numCache>
                <c:formatCode>General</c:formatCode>
                <c:ptCount val="2"/>
                <c:pt idx="0">
                  <c:v>-44</c:v>
                </c:pt>
                <c:pt idx="1">
                  <c:v>-43.999999999999993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141B-4788-A1E0-0380C8CC8BB6}"/>
            </c:ext>
          </c:extLst>
        </c:ser>
        <c:ser>
          <c:idx val="5"/>
          <c:order val="5"/>
          <c:tx>
            <c:v>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58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0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7C443F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1-141B-4788-A1E0-0380C8CC8BB6}"/>
              </c:ext>
            </c:extLst>
          </c:dPt>
          <c:xVal>
            <c:numRef>
              <c:f>[0]!pp6x</c:f>
              <c:numCache>
                <c:formatCode>General</c:formatCode>
                <c:ptCount val="2"/>
                <c:pt idx="0">
                  <c:v>0</c:v>
                </c:pt>
                <c:pt idx="1">
                  <c:v>-5.6238899417901909</c:v>
                </c:pt>
              </c:numCache>
            </c:numRef>
          </c:xVal>
          <c:yVal>
            <c:numRef>
              <c:f>[0]!pp6y</c:f>
              <c:numCache>
                <c:formatCode>General</c:formatCode>
                <c:ptCount val="2"/>
                <c:pt idx="0">
                  <c:v>-33</c:v>
                </c:pt>
                <c:pt idx="1">
                  <c:v>-32.999999999999993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141B-4788-A1E0-0380C8CC8BB6}"/>
            </c:ext>
          </c:extLst>
        </c:ser>
        <c:ser>
          <c:idx val="6"/>
          <c:order val="6"/>
          <c:tx>
            <c:v>7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3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0081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141B-4788-A1E0-0380C8CC8BB6}"/>
              </c:ext>
            </c:extLst>
          </c:dPt>
          <c:xVal>
            <c:numRef>
              <c:f>[0]!pp7x</c:f>
              <c:numCache>
                <c:formatCode>General</c:formatCode>
                <c:ptCount val="2"/>
                <c:pt idx="0">
                  <c:v>0</c:v>
                </c:pt>
                <c:pt idx="1">
                  <c:v>-4.5258608609113802</c:v>
                </c:pt>
              </c:numCache>
            </c:numRef>
          </c:xVal>
          <c:yVal>
            <c:numRef>
              <c:f>[0]!pp7y</c:f>
              <c:numCache>
                <c:formatCode>General</c:formatCode>
                <c:ptCount val="2"/>
                <c:pt idx="0">
                  <c:v>-22</c:v>
                </c:pt>
                <c:pt idx="1">
                  <c:v>-21.999999999999993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141B-4788-A1E0-0380C8CC8BB6}"/>
            </c:ext>
          </c:extLst>
        </c:ser>
        <c:ser>
          <c:idx val="7"/>
          <c:order val="7"/>
          <c:tx>
            <c:v>8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6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81BF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7-141B-4788-A1E0-0380C8CC8BB6}"/>
              </c:ext>
            </c:extLst>
          </c:dPt>
          <c:xVal>
            <c:numRef>
              <c:f>[0]!pp8x</c:f>
              <c:numCache>
                <c:formatCode>General</c:formatCode>
                <c:ptCount val="2"/>
                <c:pt idx="0">
                  <c:v>0</c:v>
                </c:pt>
                <c:pt idx="1">
                  <c:v>-3.3464872476727043</c:v>
                </c:pt>
              </c:numCache>
            </c:numRef>
          </c:xVal>
          <c:yVal>
            <c:numRef>
              <c:f>[0]!pp8y</c:f>
              <c:numCache>
                <c:formatCode>General</c:formatCode>
                <c:ptCount val="2"/>
                <c:pt idx="0">
                  <c:v>-11</c:v>
                </c:pt>
                <c:pt idx="1">
                  <c:v>-10.999999999999995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141B-4788-A1E0-0380C8CC8BB6}"/>
            </c:ext>
          </c:extLst>
        </c:ser>
        <c:ser>
          <c:idx val="8"/>
          <c:order val="8"/>
          <c:tx>
            <c:v>9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9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02FD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A-141B-4788-A1E0-0380C8CC8BB6}"/>
              </c:ext>
            </c:extLst>
          </c:dPt>
          <c:xVal>
            <c:numRef>
              <c:f>[0]!pp9x</c:f>
              <c:numCache>
                <c:formatCode>General</c:formatCode>
                <c:ptCount val="2"/>
                <c:pt idx="0">
                  <c:v>0</c:v>
                </c:pt>
                <c:pt idx="1">
                  <c:v>-2.1598834173385222</c:v>
                </c:pt>
              </c:numCache>
            </c:numRef>
          </c:xVal>
          <c:yVal>
            <c:numRef>
              <c:f>[0]!pp9y</c:f>
              <c:numCache>
                <c:formatCode>General</c:formatCode>
                <c:ptCount val="2"/>
                <c:pt idx="0">
                  <c:v>0</c:v>
                </c:pt>
                <c:pt idx="1">
                  <c:v>4.7804300623639253E-15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141B-4788-A1E0-0380C8CC8BB6}"/>
            </c:ext>
          </c:extLst>
        </c:ser>
        <c:ser>
          <c:idx val="9"/>
          <c:order val="9"/>
          <c:tx>
            <c:v>10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C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80B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D-141B-4788-A1E0-0380C8CC8BB6}"/>
              </c:ext>
            </c:extLst>
          </c:dPt>
          <c:xVal>
            <c:numRef>
              <c:f>[0]!pp10x</c:f>
              <c:numCache>
                <c:formatCode>General</c:formatCode>
                <c:ptCount val="2"/>
                <c:pt idx="0">
                  <c:v>0</c:v>
                </c:pt>
                <c:pt idx="1">
                  <c:v>-1.0295008938668577</c:v>
                </c:pt>
              </c:numCache>
            </c:numRef>
          </c:xVal>
          <c:yVal>
            <c:numRef>
              <c:f>[0]!pp10y</c:f>
              <c:numCache>
                <c:formatCode>General</c:formatCode>
                <c:ptCount val="2"/>
                <c:pt idx="0">
                  <c:v>11</c:v>
                </c:pt>
                <c:pt idx="1">
                  <c:v>11.000000000000004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141B-4788-A1E0-0380C8CC8BB6}"/>
            </c:ext>
          </c:extLst>
        </c:ser>
        <c:ser>
          <c:idx val="10"/>
          <c:order val="10"/>
          <c:tx>
            <c:v>11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BACC6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1F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E027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0-141B-4788-A1E0-0380C8CC8BB6}"/>
              </c:ext>
            </c:extLst>
          </c:dPt>
          <c:xVal>
            <c:numRef>
              <c:f>[0]!pp11x</c:f>
              <c:numCache>
                <c:formatCode>General</c:formatCode>
                <c:ptCount val="2"/>
                <c:pt idx="0">
                  <c:v>0</c:v>
                </c:pt>
                <c:pt idx="1">
                  <c:v>-7.4070310244484265E-3</c:v>
                </c:pt>
              </c:numCache>
            </c:numRef>
          </c:xVal>
          <c:yVal>
            <c:numRef>
              <c:f>[0]!pp11y</c:f>
              <c:numCache>
                <c:formatCode>General</c:formatCode>
                <c:ptCount val="2"/>
                <c:pt idx="0">
                  <c:v>22</c:v>
                </c:pt>
                <c:pt idx="1">
                  <c:v>22.000000000000004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1-141B-4788-A1E0-0380C8CC8BB6}"/>
            </c:ext>
          </c:extLst>
        </c:ser>
        <c:ser>
          <c:idx val="11"/>
          <c:order val="11"/>
          <c:tx>
            <c:v>12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F79646">
                  <a:shade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2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FF823E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3-141B-4788-A1E0-0380C8CC8BB6}"/>
              </c:ext>
            </c:extLst>
          </c:dPt>
          <c:xVal>
            <c:numRef>
              <c:f>[0]!pp12x</c:f>
              <c:numCache>
                <c:formatCode>General</c:formatCode>
                <c:ptCount val="2"/>
                <c:pt idx="0">
                  <c:v>0</c:v>
                </c:pt>
                <c:pt idx="1">
                  <c:v>0.86667752456362845</c:v>
                </c:pt>
              </c:numCache>
            </c:numRef>
          </c:xVal>
          <c:yVal>
            <c:numRef>
              <c:f>[0]!pp12y</c:f>
              <c:numCache>
                <c:formatCode>General</c:formatCode>
                <c:ptCount val="2"/>
                <c:pt idx="0">
                  <c:v>33</c:v>
                </c:pt>
                <c:pt idx="1">
                  <c:v>33.000000000000007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4-141B-4788-A1E0-0380C8CC8BB6}"/>
            </c:ext>
          </c:extLst>
        </c:ser>
        <c:ser>
          <c:idx val="12"/>
          <c:order val="12"/>
          <c:tx>
            <c:v>13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4F81BD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5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948A5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6-141B-4788-A1E0-0380C8CC8BB6}"/>
              </c:ext>
            </c:extLst>
          </c:dPt>
          <c:xVal>
            <c:numRef>
              <c:f>[0]!pp13x</c:f>
              <c:numCache>
                <c:formatCode>General</c:formatCode>
                <c:ptCount val="2"/>
                <c:pt idx="0">
                  <c:v>0</c:v>
                </c:pt>
                <c:pt idx="1">
                  <c:v>1.5660656928416008</c:v>
                </c:pt>
              </c:numCache>
            </c:numRef>
          </c:xVal>
          <c:yVal>
            <c:numRef>
              <c:f>[0]!pp13y</c:f>
              <c:numCache>
                <c:formatCode>General</c:formatCode>
                <c:ptCount val="2"/>
                <c:pt idx="0">
                  <c:v>44</c:v>
                </c:pt>
                <c:pt idx="1">
                  <c:v>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7-141B-4788-A1E0-0380C8CC8BB6}"/>
            </c:ext>
          </c:extLst>
        </c:ser>
        <c:ser>
          <c:idx val="13"/>
          <c:order val="13"/>
          <c:tx>
            <c:v>14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C0504D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8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31859C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9-141B-4788-A1E0-0380C8CC8BB6}"/>
              </c:ext>
            </c:extLst>
          </c:dPt>
          <c:xVal>
            <c:numRef>
              <c:f>[0]!pp14x</c:f>
              <c:numCache>
                <c:formatCode>General</c:formatCode>
                <c:ptCount val="2"/>
                <c:pt idx="0">
                  <c:v>0</c:v>
                </c:pt>
                <c:pt idx="1">
                  <c:v>2.0770552040183397</c:v>
                </c:pt>
              </c:numCache>
            </c:numRef>
          </c:xVal>
          <c:yVal>
            <c:numRef>
              <c:f>[0]!pp14y</c:f>
              <c:numCache>
                <c:formatCode>General</c:formatCode>
                <c:ptCount val="2"/>
                <c:pt idx="0">
                  <c:v>55</c:v>
                </c:pt>
                <c:pt idx="1">
                  <c:v>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A-141B-4788-A1E0-0380C8CC8BB6}"/>
            </c:ext>
          </c:extLst>
        </c:ser>
        <c:ser>
          <c:idx val="14"/>
          <c:order val="14"/>
          <c:tx>
            <c:v>15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9BBB59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B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D99694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C-141B-4788-A1E0-0380C8CC8BB6}"/>
              </c:ext>
            </c:extLst>
          </c:dPt>
          <c:xVal>
            <c:numRef>
              <c:f>[0]!pp15x</c:f>
              <c:numCache>
                <c:formatCode>General</c:formatCode>
                <c:ptCount val="2"/>
                <c:pt idx="0">
                  <c:v>0</c:v>
                </c:pt>
                <c:pt idx="1">
                  <c:v>2.3979455843331512</c:v>
                </c:pt>
              </c:numCache>
            </c:numRef>
          </c:xVal>
          <c:yVal>
            <c:numRef>
              <c:f>[0]!pp15y</c:f>
              <c:numCache>
                <c:formatCode>General</c:formatCode>
                <c:ptCount val="2"/>
                <c:pt idx="0">
                  <c:v>66</c:v>
                </c:pt>
                <c:pt idx="1">
                  <c:v>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141B-4788-A1E0-0380C8CC8BB6}"/>
            </c:ext>
          </c:extLst>
        </c:ser>
        <c:ser>
          <c:idx val="15"/>
          <c:order val="15"/>
          <c:tx>
            <c:v>16</c:v>
          </c:tx>
          <c:spPr>
            <a:ln w="6350" cap="rnd" cmpd="sng" algn="ctr">
              <a:solidFill>
                <a:srgbClr val="0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pPr>
              <a:solidFill>
                <a:srgbClr val="8064A2">
                  <a:tint val="86000"/>
                </a:srgbClr>
              </a:solidFill>
              <a:ln w="6350" cap="rnd" cmpd="sng" algn="ctr">
                <a:solidFill>
                  <a:srgbClr val="000000"/>
                </a:solidFill>
                <a:prstDash val="solid"/>
                <a:round/>
                <a:headEnd type="none" w="med" len="med"/>
                <a:tailEnd type="none" w="med" len="med"/>
              </a:ln>
              <a:effectLst/>
            </c:spPr>
          </c:marker>
          <c:dPt>
            <c:idx val="0"/>
            <c:marker>
              <c:symbol val="none"/>
            </c:marker>
            <c:bubble3D val="0"/>
            <c:extLst>
              <c:ext xmlns:c16="http://schemas.microsoft.com/office/drawing/2014/chart" uri="{C3380CC4-5D6E-409C-BE32-E72D297353CC}">
                <c16:uniqueId val="{0000002E-141B-4788-A1E0-0380C8CC8BB6}"/>
              </c:ext>
            </c:extLst>
          </c:dPt>
          <c:dPt>
            <c:idx val="1"/>
            <c:marker>
              <c:symbol val="circle"/>
              <c:size val="10"/>
              <c:spPr>
                <a:solidFill>
                  <a:srgbClr val="A6A6A6"/>
                </a:solidFill>
                <a:ln w="6350" cap="rnd" cmpd="sng" algn="ctr">
                  <a:solidFill>
                    <a:srgbClr val="000000"/>
                  </a:solidFill>
                  <a:prstDash val="solid"/>
                  <a:round/>
                  <a:headEnd type="none" w="med" len="med"/>
                  <a:tailEnd type="none" w="med" len="med"/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2F-141B-4788-A1E0-0380C8CC8BB6}"/>
              </c:ext>
            </c:extLst>
          </c:dPt>
          <c:xVal>
            <c:numRef>
              <c:f>[0]!pp16x</c:f>
              <c:numCache>
                <c:formatCode>General</c:formatCode>
                <c:ptCount val="2"/>
                <c:pt idx="0">
                  <c:v>0</c:v>
                </c:pt>
                <c:pt idx="1">
                  <c:v>2.5372514145044116</c:v>
                </c:pt>
              </c:numCache>
            </c:numRef>
          </c:xVal>
          <c:yVal>
            <c:numRef>
              <c:f>[0]!pp16y</c:f>
              <c:numCache>
                <c:formatCode>General</c:formatCode>
                <c:ptCount val="2"/>
                <c:pt idx="0">
                  <c:v>77</c:v>
                </c:pt>
                <c:pt idx="1">
                  <c:v>77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141B-4788-A1E0-0380C8CC8BB6}"/>
            </c:ext>
          </c:extLst>
        </c:ser>
        <c:ser>
          <c:idx val="16"/>
          <c:order val="16"/>
          <c:spPr>
            <a:ln w="1905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X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1-141B-4788-A1E0-0380C8CC8BB6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Y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2-141B-4788-A1E0-0380C8CC8BB6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Z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33-141B-4788-A1E0-0380C8CC8BB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b="1">
                    <a:solidFill>
                      <a:srgbClr val="FF0000"/>
                    </a:solidFill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'1'!$AB$42:$AB$49</c:f>
              <c:numCache>
                <c:formatCode>General</c:formatCode>
                <c:ptCount val="8"/>
                <c:pt idx="0">
                  <c:v>-50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'1'!$AC$42:$AC$49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9.1886134118146501E-15</c:v>
                </c:pt>
                <c:pt idx="4">
                  <c:v>-9.1886134118146501E-15</c:v>
                </c:pt>
                <c:pt idx="5">
                  <c:v>0</c:v>
                </c:pt>
                <c:pt idx="6">
                  <c:v>-50</c:v>
                </c:pt>
                <c:pt idx="7">
                  <c:v>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141B-4788-A1E0-0380C8CC8BB6}"/>
            </c:ext>
          </c:extLst>
        </c:ser>
        <c:ser>
          <c:idx val="17"/>
          <c:order val="17"/>
          <c:tx>
            <c:v>Cage</c:v>
          </c:tx>
          <c:spPr>
            <a:ln w="41275" cap="rnd" cmpd="sng" algn="ctr">
              <a:solidFill>
                <a:prstClr val="black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'1'!$AB$72:$AB$87</c:f>
              <c:numCache>
                <c:formatCode>General</c:formatCode>
                <c:ptCount val="16"/>
                <c:pt idx="0">
                  <c:v>0</c:v>
                </c:pt>
                <c:pt idx="1">
                  <c:v>-40</c:v>
                </c:pt>
                <c:pt idx="2">
                  <c:v>40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-40</c:v>
                </c:pt>
                <c:pt idx="7">
                  <c:v>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-40</c:v>
                </c:pt>
                <c:pt idx="13">
                  <c:v>-40</c:v>
                </c:pt>
                <c:pt idx="14">
                  <c:v>40</c:v>
                </c:pt>
                <c:pt idx="15">
                  <c:v>40</c:v>
                </c:pt>
              </c:numCache>
            </c:numRef>
          </c:xVal>
          <c:yVal>
            <c:numRef>
              <c:f>'1'!$AC$72:$AC$87</c:f>
              <c:numCache>
                <c:formatCode>General</c:formatCode>
                <c:ptCount val="16"/>
                <c:pt idx="0">
                  <c:v>-90</c:v>
                </c:pt>
                <c:pt idx="1">
                  <c:v>-89.999999999999986</c:v>
                </c:pt>
                <c:pt idx="2">
                  <c:v>-89.999999999999986</c:v>
                </c:pt>
                <c:pt idx="3">
                  <c:v>-90</c:v>
                </c:pt>
                <c:pt idx="4">
                  <c:v>0</c:v>
                </c:pt>
                <c:pt idx="5">
                  <c:v>80</c:v>
                </c:pt>
                <c:pt idx="6">
                  <c:v>80.000000000000014</c:v>
                </c:pt>
                <c:pt idx="7">
                  <c:v>80.000000000000014</c:v>
                </c:pt>
                <c:pt idx="8">
                  <c:v>80</c:v>
                </c:pt>
                <c:pt idx="9">
                  <c:v>0</c:v>
                </c:pt>
                <c:pt idx="10">
                  <c:v>-90</c:v>
                </c:pt>
                <c:pt idx="11">
                  <c:v>80</c:v>
                </c:pt>
                <c:pt idx="12">
                  <c:v>80.000000000000014</c:v>
                </c:pt>
                <c:pt idx="13">
                  <c:v>-89.999999999999986</c:v>
                </c:pt>
                <c:pt idx="14">
                  <c:v>-89.999999999999986</c:v>
                </c:pt>
                <c:pt idx="15">
                  <c:v>80.000000000000014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141B-4788-A1E0-0380C8CC8B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6446848"/>
        <c:axId val="236447424"/>
      </c:scatterChart>
      <c:valAx>
        <c:axId val="236446848"/>
        <c:scaling>
          <c:orientation val="minMax"/>
          <c:max val="100"/>
          <c:min val="-100"/>
        </c:scaling>
        <c:delete val="1"/>
        <c:axPos val="b"/>
        <c:numFmt formatCode="General" sourceLinked="1"/>
        <c:majorTickMark val="out"/>
        <c:minorTickMark val="none"/>
        <c:tickLblPos val="none"/>
        <c:crossAx val="236447424"/>
        <c:crosses val="autoZero"/>
        <c:crossBetween val="midCat"/>
      </c:valAx>
      <c:valAx>
        <c:axId val="236447424"/>
        <c:scaling>
          <c:orientation val="minMax"/>
          <c:max val="100"/>
          <c:min val="-100"/>
        </c:scaling>
        <c:delete val="1"/>
        <c:axPos val="l"/>
        <c:numFmt formatCode="General" sourceLinked="1"/>
        <c:majorTickMark val="out"/>
        <c:minorTickMark val="none"/>
        <c:tickLblPos val="none"/>
        <c:crossAx val="236446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trlProps/ctrlProp1.xml><?xml version="1.0" encoding="utf-8"?>
<formControlPr xmlns="http://schemas.microsoft.com/office/spreadsheetml/2009/9/main" objectType="Radio" firstButton="1" fmlaLink="$AB$9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Radio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GBox" noThreeD="1"/>
</file>

<file path=xl/ctrlProps/ctrlProp6.xml><?xml version="1.0" encoding="utf-8"?>
<formControlPr xmlns="http://schemas.microsoft.com/office/spreadsheetml/2009/9/main" objectType="Radio" firstButton="1" fmlaLink="$AB$8" lockText="1" noThreeD="1"/>
</file>

<file path=xl/ctrlProps/ctrlProp7.xml><?xml version="1.0" encoding="utf-8"?>
<formControlPr xmlns="http://schemas.microsoft.com/office/spreadsheetml/2009/9/main" objectType="Radio" lockText="1" noThreeD="1"/>
</file>

<file path=xl/ctrlProps/ctrlProp8.xml><?xml version="1.0" encoding="utf-8"?>
<formControlPr xmlns="http://schemas.microsoft.com/office/spreadsheetml/2009/9/main" objectType="Radio" checked="Checked" lockText="1" noThreeD="1"/>
</file>

<file path=xl/ctrlProps/ctrlProp9.xml><?xml version="1.0" encoding="utf-8"?>
<formControlPr xmlns="http://schemas.microsoft.com/office/spreadsheetml/2009/9/main" objectType="Radio" lockText="1" noThreeD="1"/>
</file>

<file path=xl/ctrlProps/ctrlProp10.xml><?xml version="1.0" encoding="utf-8"?>
<formControlPr xmlns="http://schemas.microsoft.com/office/spreadsheetml/2009/9/main" objectType="CheckBox" checked="Checked" fmlaLink="$AB$10" lockText="1" noThreeD="1"/>
</file>

<file path=xl/ctrlProps/ctrlProp11.xml><?xml version="1.0" encoding="utf-8"?>
<formControlPr xmlns="http://schemas.microsoft.com/office/spreadsheetml/2009/9/main" objectType="CheckBox" checked="Checked" fmlaLink="$AB$11" lockText="1" noThreeD="1"/>
</file>

<file path=xl/ctrlProps/ctrlProp12.xml><?xml version="1.0" encoding="utf-8"?>
<formControlPr xmlns="http://schemas.microsoft.com/office/spreadsheetml/2009/9/main" objectType="GBox" noThreeD="1"/>
</file>

<file path=xl/ctrlProps/ctrlProp13.xml><?xml version="1.0" encoding="utf-8"?>
<formControlPr xmlns="http://schemas.microsoft.com/office/spreadsheetml/2009/9/main" objectType="CheckBox" fmlaLink="YRot" lockText="1" noThreeD="1"/>
</file>

<file path=xl/ctrlProps/ctrlProp14.xml><?xml version="1.0" encoding="utf-8"?>
<formControlPr xmlns="http://schemas.microsoft.com/office/spreadsheetml/2009/9/main" objectType="Radio" checked="Checked" firstButton="1" fmlaLink="$AB$9" lockText="1" noThreeD="1"/>
</file>

<file path=xl/ctrlProps/ctrlProp15.xml><?xml version="1.0" encoding="utf-8"?>
<formControlPr xmlns="http://schemas.microsoft.com/office/spreadsheetml/2009/9/main" objectType="Radio" lockText="1" noThreeD="1"/>
</file>

<file path=xl/ctrlProps/ctrlProp16.xml><?xml version="1.0" encoding="utf-8"?>
<formControlPr xmlns="http://schemas.microsoft.com/office/spreadsheetml/2009/9/main" objectType="Radio" lockText="1" noThreeD="1"/>
</file>

<file path=xl/ctrlProps/ctrlProp17.xml><?xml version="1.0" encoding="utf-8"?>
<formControlPr xmlns="http://schemas.microsoft.com/office/spreadsheetml/2009/9/main" objectType="GBox" noThreeD="1"/>
</file>

<file path=xl/ctrlProps/ctrlProp18.xml><?xml version="1.0" encoding="utf-8"?>
<formControlPr xmlns="http://schemas.microsoft.com/office/spreadsheetml/2009/9/main" objectType="GBox" noThreeD="1"/>
</file>

<file path=xl/ctrlProps/ctrlProp19.xml><?xml version="1.0" encoding="utf-8"?>
<formControlPr xmlns="http://schemas.microsoft.com/office/spreadsheetml/2009/9/main" objectType="Radio" checked="Checked" firstButton="1" fmlaLink="$AB$8" lockText="1" noThreeD="1"/>
</file>

<file path=xl/ctrlProps/ctrlProp20.xml><?xml version="1.0" encoding="utf-8"?>
<formControlPr xmlns="http://schemas.microsoft.com/office/spreadsheetml/2009/9/main" objectType="Radio" lockText="1" noThreeD="1"/>
</file>

<file path=xl/ctrlProps/ctrlProp21.xml><?xml version="1.0" encoding="utf-8"?>
<formControlPr xmlns="http://schemas.microsoft.com/office/spreadsheetml/2009/9/main" objectType="Radio" lockText="1" noThreeD="1"/>
</file>

<file path=xl/ctrlProps/ctrlProp22.xml><?xml version="1.0" encoding="utf-8"?>
<formControlPr xmlns="http://schemas.microsoft.com/office/spreadsheetml/2009/9/main" objectType="Radio" lockText="1" noThreeD="1"/>
</file>

<file path=xl/ctrlProps/ctrlProp23.xml><?xml version="1.0" encoding="utf-8"?>
<formControlPr xmlns="http://schemas.microsoft.com/office/spreadsheetml/2009/9/main" objectType="GBox" noThreeD="1"/>
</file>

<file path=xl/ctrlProps/ctrlProp24.xml><?xml version="1.0" encoding="utf-8"?>
<formControlPr xmlns="http://schemas.microsoft.com/office/spreadsheetml/2009/9/main" objectType="CheckBox" checked="Checked" fmlaLink="$AB$10" lockText="1" noThreeD="1"/>
</file>

<file path=xl/ctrlProps/ctrlProp25.xml><?xml version="1.0" encoding="utf-8"?>
<formControlPr xmlns="http://schemas.microsoft.com/office/spreadsheetml/2009/9/main" objectType="CheckBox" checked="Checked" fmlaLink="$AB$11" lockText="1" noThreeD="1"/>
</file>

<file path=xl/ctrlProps/ctrlProp26.xml><?xml version="1.0" encoding="utf-8"?>
<formControlPr xmlns="http://schemas.microsoft.com/office/spreadsheetml/2009/9/main" objectType="CheckBox" fmlaLink="YRot" lockText="1" noThreeD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Relationship Id="rId4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121262</xdr:colOff>
      <xdr:row>6</xdr:row>
      <xdr:rowOff>55396</xdr:rowOff>
    </xdr:from>
    <xdr:ext cx="1309219" cy="354180"/>
    <xdr:sp macro="[0]!Reset" textlink="">
      <xdr:nvSpPr>
        <xdr:cNvPr id="2" name="Rounded Rectangle 3">
          <a:extLst>
            <a:ext uri="{FF2B5EF4-FFF2-40B4-BE49-F238E27FC236}">
              <a16:creationId xmlns:a16="http://schemas.microsoft.com/office/drawing/2014/main" id="{403E92A9-F99C-4D6F-A49E-73F09C623F0B}"/>
            </a:ext>
          </a:extLst>
        </xdr:cNvPr>
        <xdr:cNvSpPr/>
      </xdr:nvSpPr>
      <xdr:spPr>
        <a:xfrm>
          <a:off x="121262" y="1493671"/>
          <a:ext cx="1309219" cy="354180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AU" sz="24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12</xdr:col>
      <xdr:colOff>92309</xdr:colOff>
      <xdr:row>16</xdr:row>
      <xdr:rowOff>114300</xdr:rowOff>
    </xdr:from>
    <xdr:to>
      <xdr:col>16</xdr:col>
      <xdr:colOff>418185</xdr:colOff>
      <xdr:row>20</xdr:row>
      <xdr:rowOff>78883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88FA1819-E5F7-49D3-BD2D-C86DE88D1B60}"/>
            </a:ext>
          </a:extLst>
        </xdr:cNvPr>
        <xdr:cNvGrpSpPr/>
      </xdr:nvGrpSpPr>
      <xdr:grpSpPr>
        <a:xfrm>
          <a:off x="7364927" y="4025153"/>
          <a:ext cx="2656699" cy="547289"/>
          <a:chOff x="6815838" y="3876877"/>
          <a:chExt cx="3580928" cy="827301"/>
        </a:xfrm>
      </xdr:grpSpPr>
      <xdr:pic macro="[0]!Earth">
        <xdr:nvPicPr>
          <xdr:cNvPr id="4" name="Picture 3" descr="Apply the Earths Gravity">
            <a:extLst>
              <a:ext uri="{FF2B5EF4-FFF2-40B4-BE49-F238E27FC236}">
                <a16:creationId xmlns:a16="http://schemas.microsoft.com/office/drawing/2014/main" id="{2044CFF7-F3EC-236D-1AF8-CBFB9990E17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7461469" y="3886776"/>
            <a:ext cx="545253" cy="463418"/>
          </a:xfrm>
          <a:prstGeom prst="rect">
            <a:avLst/>
          </a:prstGeom>
        </xdr:spPr>
      </xdr:pic>
      <xdr:pic macro="[0]!Moon">
        <xdr:nvPicPr>
          <xdr:cNvPr id="5" name="Picture 4" descr="Apply the Moon's Gravity">
            <a:extLst>
              <a:ext uri="{FF2B5EF4-FFF2-40B4-BE49-F238E27FC236}">
                <a16:creationId xmlns:a16="http://schemas.microsoft.com/office/drawing/2014/main" id="{DD938F52-5FB5-8940-18D1-9EB3B6B38D87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6815838" y="3876877"/>
            <a:ext cx="556423" cy="483213"/>
          </a:xfrm>
          <a:prstGeom prst="rect">
            <a:avLst/>
          </a:prstGeom>
        </xdr:spPr>
      </xdr:pic>
      <xdr:pic macro="[0]!Sun">
        <xdr:nvPicPr>
          <xdr:cNvPr id="6" name="Picture 5" descr="Apply the Suns Gravity">
            <a:extLst>
              <a:ext uri="{FF2B5EF4-FFF2-40B4-BE49-F238E27FC236}">
                <a16:creationId xmlns:a16="http://schemas.microsoft.com/office/drawing/2014/main" id="{28D44433-9820-62C4-4B38-4A54A421132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8757314" y="3885380"/>
            <a:ext cx="535930" cy="466208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114300</xdr:colOff>
      <xdr:row>4</xdr:row>
      <xdr:rowOff>18160</xdr:rowOff>
    </xdr:from>
    <xdr:ext cx="2441864" cy="484955"/>
    <xdr:sp macro="[0]!Start_Stop" textlink="">
      <xdr:nvSpPr>
        <xdr:cNvPr id="7" name="Rounded Rectangle 21">
          <a:extLst>
            <a:ext uri="{FF2B5EF4-FFF2-40B4-BE49-F238E27FC236}">
              <a16:creationId xmlns:a16="http://schemas.microsoft.com/office/drawing/2014/main" id="{4DFF9174-403C-448D-9FD5-53175886EA18}"/>
            </a:ext>
          </a:extLst>
        </xdr:cNvPr>
        <xdr:cNvSpPr/>
      </xdr:nvSpPr>
      <xdr:spPr>
        <a:xfrm>
          <a:off x="114300" y="923035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</xdr:col>
      <xdr:colOff>284513</xdr:colOff>
      <xdr:row>1</xdr:row>
      <xdr:rowOff>33618</xdr:rowOff>
    </xdr:from>
    <xdr:ext cx="7846892" cy="563552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4C14E28C-204D-4333-BBCB-369F93A8A64D}"/>
            </a:ext>
          </a:extLst>
        </xdr:cNvPr>
        <xdr:cNvSpPr/>
      </xdr:nvSpPr>
      <xdr:spPr>
        <a:xfrm>
          <a:off x="875063" y="176493"/>
          <a:ext cx="7846892" cy="5635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3600" b="1">
              <a:solidFill>
                <a:srgbClr val="0000FF"/>
              </a:solidFill>
            </a:rPr>
            <a:t>Dynamically Defined Dancing Pendulums</a:t>
          </a:r>
        </a:p>
      </xdr:txBody>
    </xdr:sp>
    <xdr:clientData/>
  </xdr:oneCellAnchor>
  <xdr:twoCellAnchor>
    <xdr:from>
      <xdr:col>0</xdr:col>
      <xdr:colOff>96734</xdr:colOff>
      <xdr:row>10</xdr:row>
      <xdr:rowOff>28575</xdr:rowOff>
    </xdr:from>
    <xdr:to>
      <xdr:col>11</xdr:col>
      <xdr:colOff>461035</xdr:colOff>
      <xdr:row>41</xdr:row>
      <xdr:rowOff>19668</xdr:rowOff>
    </xdr:to>
    <xdr:graphicFrame macro="">
      <xdr:nvGraphicFramePr>
        <xdr:cNvPr id="9" name="Chart1">
          <a:extLst>
            <a:ext uri="{FF2B5EF4-FFF2-40B4-BE49-F238E27FC236}">
              <a16:creationId xmlns:a16="http://schemas.microsoft.com/office/drawing/2014/main" id="{430C0913-0127-4ECE-9A6F-1964E30ACE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21853</xdr:colOff>
      <xdr:row>10</xdr:row>
      <xdr:rowOff>7924</xdr:rowOff>
    </xdr:from>
    <xdr:to>
      <xdr:col>18</xdr:col>
      <xdr:colOff>209550</xdr:colOff>
      <xdr:row>13</xdr:row>
      <xdr:rowOff>37840</xdr:rowOff>
    </xdr:to>
    <xdr:grpSp>
      <xdr:nvGrpSpPr>
        <xdr:cNvPr id="10" name="Group 9">
          <a:extLst>
            <a:ext uri="{FF2B5EF4-FFF2-40B4-BE49-F238E27FC236}">
              <a16:creationId xmlns:a16="http://schemas.microsoft.com/office/drawing/2014/main" id="{7EB0297F-D81A-43CD-938F-B4250851EC01}"/>
            </a:ext>
          </a:extLst>
        </xdr:cNvPr>
        <xdr:cNvGrpSpPr/>
      </xdr:nvGrpSpPr>
      <xdr:grpSpPr>
        <a:xfrm>
          <a:off x="10163177" y="2439600"/>
          <a:ext cx="725579" cy="1072064"/>
          <a:chOff x="9434794" y="2439600"/>
          <a:chExt cx="725580" cy="1072064"/>
        </a:xfrm>
      </xdr:grpSpPr>
      <xdr:sp macro="[0]!Sheet1.Top" textlink="">
        <xdr:nvSpPr>
          <xdr:cNvPr id="11" name="Rounded Rectangle 14">
            <a:extLst>
              <a:ext uri="{FF2B5EF4-FFF2-40B4-BE49-F238E27FC236}">
                <a16:creationId xmlns:a16="http://schemas.microsoft.com/office/drawing/2014/main" id="{4DE12C40-4039-98FB-DD96-80FB634EC3B6}"/>
              </a:ext>
            </a:extLst>
          </xdr:cNvPr>
          <xdr:cNvSpPr/>
        </xdr:nvSpPr>
        <xdr:spPr>
          <a:xfrm>
            <a:off x="9434794" y="243960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Top</a:t>
            </a:r>
          </a:p>
        </xdr:txBody>
      </xdr:sp>
      <xdr:sp macro="[0]!Sheet1.Side" textlink="">
        <xdr:nvSpPr>
          <xdr:cNvPr id="12" name="Rounded Rectangle 15">
            <a:extLst>
              <a:ext uri="{FF2B5EF4-FFF2-40B4-BE49-F238E27FC236}">
                <a16:creationId xmlns:a16="http://schemas.microsoft.com/office/drawing/2014/main" id="{B6CE9153-AAEC-96D1-3F7B-8C8FBFC49454}"/>
              </a:ext>
            </a:extLst>
          </xdr:cNvPr>
          <xdr:cNvSpPr/>
        </xdr:nvSpPr>
        <xdr:spPr>
          <a:xfrm>
            <a:off x="9434794" y="301054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Side</a:t>
            </a:r>
          </a:p>
        </xdr:txBody>
      </xdr:sp>
      <xdr:sp macro="[0]!Sheet1.Front" textlink="">
        <xdr:nvSpPr>
          <xdr:cNvPr id="13" name="Rounded Rectangle 16">
            <a:extLst>
              <a:ext uri="{FF2B5EF4-FFF2-40B4-BE49-F238E27FC236}">
                <a16:creationId xmlns:a16="http://schemas.microsoft.com/office/drawing/2014/main" id="{0BDBDF9A-D12B-A390-7744-FFAAED5F12D8}"/>
              </a:ext>
            </a:extLst>
          </xdr:cNvPr>
          <xdr:cNvSpPr/>
        </xdr:nvSpPr>
        <xdr:spPr>
          <a:xfrm>
            <a:off x="9434794" y="2725071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Front</a:t>
            </a:r>
          </a:p>
        </xdr:txBody>
      </xdr:sp>
      <xdr:sp macro="[0]!Sheet1.Perspective" textlink="">
        <xdr:nvSpPr>
          <xdr:cNvPr id="14" name="Rounded Rectangle 18">
            <a:extLst>
              <a:ext uri="{FF2B5EF4-FFF2-40B4-BE49-F238E27FC236}">
                <a16:creationId xmlns:a16="http://schemas.microsoft.com/office/drawing/2014/main" id="{FC65A10A-E849-BB39-3505-A28A3481F1FB}"/>
              </a:ext>
            </a:extLst>
          </xdr:cNvPr>
          <xdr:cNvSpPr/>
        </xdr:nvSpPr>
        <xdr:spPr>
          <a:xfrm>
            <a:off x="9446000" y="3290688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FF0000"/>
                </a:solidFill>
              </a:rPr>
              <a:t>Perspective</a:t>
            </a:r>
            <a:endParaRPr lang="en-AU" sz="1600" b="1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85725</xdr:rowOff>
        </xdr:from>
        <xdr:to>
          <xdr:col>18</xdr:col>
          <xdr:colOff>200026</xdr:colOff>
          <xdr:row>20</xdr:row>
          <xdr:rowOff>123825</xdr:rowOff>
        </xdr:to>
        <xdr:sp macro="" textlink="">
          <xdr:nvSpPr>
            <xdr:cNvPr id="2049" name="ScrollBar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5E333C8D-DEA5-419F-A9E5-47CE407B12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38100</xdr:rowOff>
        </xdr:from>
        <xdr:to>
          <xdr:col>14</xdr:col>
          <xdr:colOff>123825</xdr:colOff>
          <xdr:row>35</xdr:row>
          <xdr:rowOff>104775</xdr:rowOff>
        </xdr:to>
        <xdr:grpSp>
          <xdr:nvGrpSpPr>
            <xdr:cNvPr id="15" name="Group 33">
              <a:extLst>
                <a:ext uri="{FF2B5EF4-FFF2-40B4-BE49-F238E27FC236}">
                  <a16:creationId xmlns:a16="http://schemas.microsoft.com/office/drawing/2014/main" id="{52F7EC9C-E55F-4EFF-8A4C-11B7C3DA01B1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339293" y="6022041"/>
              <a:ext cx="1312208" cy="795058"/>
              <a:chOff x="1242" y="667"/>
              <a:chExt cx="243" cy="91"/>
            </a:xfrm>
          </xdr:grpSpPr>
          <xdr:sp macro="" textlink="">
            <xdr:nvSpPr>
              <xdr:cNvPr id="2050" name="Option Button 2" hidden="1">
                <a:extLst>
                  <a:ext uri="{63B3BB69-23CF-44E3-9099-C40C66FF867C}">
                    <a14:compatExt spid="_x0000_s205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245" y="678"/>
                <a:ext cx="236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Black</a:t>
                </a:r>
              </a:p>
            </xdr:txBody>
          </xdr:sp>
          <xdr:sp macro="" textlink="">
            <xdr:nvSpPr>
              <xdr:cNvPr id="2051" name="Option Button 3" hidden="1">
                <a:extLst>
                  <a:ext uri="{63B3BB69-23CF-44E3-9099-C40C66FF867C}">
                    <a14:compatExt spid="_x0000_s205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1245" y="701"/>
                <a:ext cx="236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2052" name="Option Button 4" hidden="1">
                <a:extLst>
                  <a:ext uri="{63B3BB69-23CF-44E3-9099-C40C66FF867C}">
                    <a14:compatExt spid="_x0000_s205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1245" y="727"/>
                <a:ext cx="236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None</a:t>
                </a:r>
              </a:p>
            </xdr:txBody>
          </xdr:sp>
          <xdr:sp macro="" textlink="">
            <xdr:nvSpPr>
              <xdr:cNvPr id="2053" name="Group Box 5" hidden="1">
                <a:extLst>
                  <a:ext uri="{63B3BB69-23CF-44E3-9099-C40C66FF867C}">
                    <a14:compatExt spid="_x0000_s205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242" y="667"/>
                <a:ext cx="243" cy="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Wire Color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14</xdr:col>
          <xdr:colOff>133350</xdr:colOff>
          <xdr:row>29</xdr:row>
          <xdr:rowOff>0</xdr:rowOff>
        </xdr:to>
        <xdr:grpSp>
          <xdr:nvGrpSpPr>
            <xdr:cNvPr id="16" name="Group 35">
              <a:extLst>
                <a:ext uri="{FF2B5EF4-FFF2-40B4-BE49-F238E27FC236}">
                  <a16:creationId xmlns:a16="http://schemas.microsoft.com/office/drawing/2014/main" id="{5F884CAA-B0D3-416C-B985-F25FEFC914A6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339293" y="5104840"/>
              <a:ext cx="1321733" cy="733425"/>
              <a:chOff x="841" y="458"/>
              <a:chExt cx="241" cy="101"/>
            </a:xfrm>
          </xdr:grpSpPr>
          <xdr:sp macro="" textlink=""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841" y="458"/>
                <a:ext cx="241" cy="1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Pendulum Color</a:t>
                </a:r>
              </a:p>
            </xdr:txBody>
          </xdr:sp>
          <xdr:sp macro="" textlink="">
            <xdr:nvSpPr>
              <xdr:cNvPr id="2055" name="Option Button 7" hidden="1">
                <a:extLst>
                  <a:ext uri="{63B3BB69-23CF-44E3-9099-C40C66FF867C}">
                    <a14:compatExt spid="_x0000_s2055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848" y="465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Colored</a:t>
                </a:r>
              </a:p>
            </xdr:txBody>
          </xdr:sp>
          <xdr:sp macro="" textlink="">
            <xdr:nvSpPr>
              <xdr:cNvPr id="2056" name="Option Button 8" hidden="1">
                <a:extLst>
                  <a:ext uri="{63B3BB69-23CF-44E3-9099-C40C66FF867C}">
                    <a14:compatExt spid="_x0000_s2056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848" y="487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2057" name="Option Button 9" hidden="1">
                <a:extLst>
                  <a:ext uri="{63B3BB69-23CF-44E3-9099-C40C66FF867C}">
                    <a14:compatExt spid="_x0000_s2057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848" y="510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Zebra</a:t>
                </a:r>
              </a:p>
            </xdr:txBody>
          </xdr:sp>
          <xdr:sp macro="" textlink="">
            <xdr:nvSpPr>
              <xdr:cNvPr id="2058" name="Option Button 10" hidden="1">
                <a:extLst>
                  <a:ext uri="{63B3BB69-23CF-44E3-9099-C40C66FF867C}">
                    <a14:compatExt spid="_x0000_s2058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848" y="532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Blend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9525</xdr:rowOff>
        </xdr:from>
        <xdr:to>
          <xdr:col>16</xdr:col>
          <xdr:colOff>428625</xdr:colOff>
          <xdr:row>12</xdr:row>
          <xdr:rowOff>342900</xdr:rowOff>
        </xdr:to>
        <xdr:grpSp>
          <xdr:nvGrpSpPr>
            <xdr:cNvPr id="17" name="Group 36">
              <a:extLst>
                <a:ext uri="{FF2B5EF4-FFF2-40B4-BE49-F238E27FC236}">
                  <a16:creationId xmlns:a16="http://schemas.microsoft.com/office/drawing/2014/main" id="{C9D9E66F-571D-4236-8430-AAEBB8C9A029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556251" y="2441201"/>
              <a:ext cx="1475815" cy="1028140"/>
              <a:chOff x="816" y="284"/>
              <a:chExt cx="154" cy="109"/>
            </a:xfrm>
          </xdr:grpSpPr>
          <xdr:sp macro="" textlink="">
            <xdr:nvSpPr>
              <xdr:cNvPr id="2059" name="ScrollBar4" hidden="1">
                <a:extLst>
                  <a:ext uri="{63B3BB69-23CF-44E3-9099-C40C66FF867C}">
                    <a14:compatExt spid="_x0000_s2059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816" y="284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0" name="ScrollBar2" hidden="1">
                <a:extLst>
                  <a:ext uri="{63B3BB69-23CF-44E3-9099-C40C66FF867C}">
                    <a14:compatExt spid="_x0000_s2060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816" y="321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2061" name="ScrollBar3" hidden="1">
                <a:extLst>
                  <a:ext uri="{63B3BB69-23CF-44E3-9099-C40C66FF867C}">
                    <a14:compatExt spid="_x0000_s2061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817" y="358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352419</xdr:colOff>
          <xdr:row>24</xdr:row>
          <xdr:rowOff>28575</xdr:rowOff>
        </xdr:from>
        <xdr:to>
          <xdr:col>17</xdr:col>
          <xdr:colOff>95243</xdr:colOff>
          <xdr:row>28</xdr:row>
          <xdr:rowOff>123825</xdr:rowOff>
        </xdr:to>
        <xdr:grpSp>
          <xdr:nvGrpSpPr>
            <xdr:cNvPr id="18" name="Group 42">
              <a:extLst>
                <a:ext uri="{FF2B5EF4-FFF2-40B4-BE49-F238E27FC236}">
                  <a16:creationId xmlns:a16="http://schemas.microsoft.com/office/drawing/2014/main" id="{2D1FAE4E-15DF-461C-814F-4422FC639E9B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880095" y="5104840"/>
              <a:ext cx="1356472" cy="711573"/>
              <a:chOff x="869" y="535"/>
              <a:chExt cx="141" cy="74"/>
            </a:xfrm>
          </xdr:grpSpPr>
          <xdr:grpSp>
            <xdr:nvGrpSpPr>
              <xdr:cNvPr id="19" name="Group 40">
                <a:extLst>
                  <a:ext uri="{FF2B5EF4-FFF2-40B4-BE49-F238E27FC236}">
                    <a16:creationId xmlns:a16="http://schemas.microsoft.com/office/drawing/2014/main" id="{705BBB9B-A06E-27E1-5543-76F9674899EA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89" y="552"/>
                <a:ext cx="87" cy="50"/>
                <a:chOff x="888" y="536"/>
                <a:chExt cx="87" cy="50"/>
              </a:xfrm>
            </xdr:grpSpPr>
            <xdr:sp macro="" textlink="">
              <xdr:nvSpPr>
                <xdr:cNvPr id="2062" name="Check Box 14" hidden="1">
                  <a:extLst>
                    <a:ext uri="{63B3BB69-23CF-44E3-9099-C40C66FF867C}">
                      <a14:compatExt spid="_x0000_s2062"/>
                    </a:ext>
                    <a:ext uri="{FF2B5EF4-FFF2-40B4-BE49-F238E27FC236}">
                      <a16:creationId xmlns:a16="http://schemas.microsoft.com/office/drawing/2014/main" id="{00000000-0008-0000-0000-000026040000}"/>
                    </a:ext>
                  </a:extLst>
                </xdr:cNvPr>
                <xdr:cNvSpPr/>
              </xdr:nvSpPr>
              <xdr:spPr bwMode="auto">
                <a:xfrm>
                  <a:off x="888" y="536"/>
                  <a:ext cx="87" cy="2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CA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Frame</a:t>
                  </a:r>
                </a:p>
              </xdr:txBody>
            </xdr:sp>
            <xdr:sp macro="" textlink="">
              <xdr:nvSpPr>
                <xdr:cNvPr id="2063" name="Check Box 15" hidden="1">
                  <a:extLst>
                    <a:ext uri="{63B3BB69-23CF-44E3-9099-C40C66FF867C}">
                      <a14:compatExt spid="_x0000_s2063"/>
                    </a:ext>
                    <a:ext uri="{FF2B5EF4-FFF2-40B4-BE49-F238E27FC236}">
                      <a16:creationId xmlns:a16="http://schemas.microsoft.com/office/drawing/2014/main" id="{00000000-0008-0000-0000-000027040000}"/>
                    </a:ext>
                  </a:extLst>
                </xdr:cNvPr>
                <xdr:cNvSpPr/>
              </xdr:nvSpPr>
              <xdr:spPr bwMode="auto">
                <a:xfrm>
                  <a:off x="888" y="565"/>
                  <a:ext cx="87" cy="2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CA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 Axis</a:t>
                  </a:r>
                </a:p>
              </xdr:txBody>
            </xdr:sp>
          </xdr:grpSp>
          <xdr:sp macro="" textlink="">
            <xdr:nvSpPr>
              <xdr:cNvPr id="2064" name="Group Box 16" hidden="1">
                <a:extLst>
                  <a:ext uri="{63B3BB69-23CF-44E3-9099-C40C66FF867C}">
                    <a14:compatExt spid="_x0000_s2064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869" y="535"/>
                <a:ext cx="141" cy="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Structures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30</xdr:row>
          <xdr:rowOff>104775</xdr:rowOff>
        </xdr:from>
        <xdr:to>
          <xdr:col>18</xdr:col>
          <xdr:colOff>219075</xdr:colOff>
          <xdr:row>32</xdr:row>
          <xdr:rowOff>28575</xdr:rowOff>
        </xdr:to>
        <xdr:sp macro="" textlink="">
          <xdr:nvSpPr>
            <xdr:cNvPr id="2065" name="Check Box 17" hidden="1">
              <a:extLst>
                <a:ext uri="{63B3BB69-23CF-44E3-9099-C40C66FF867C}">
                  <a14:compatExt spid="_x0000_s2065"/>
                </a:ext>
                <a:ext uri="{FF2B5EF4-FFF2-40B4-BE49-F238E27FC236}">
                  <a16:creationId xmlns:a16="http://schemas.microsoft.com/office/drawing/2014/main" id="{A27A9C9B-0D4F-407F-AD36-6DB6EFE391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Animate Y Axis Rotation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121262</xdr:colOff>
      <xdr:row>6</xdr:row>
      <xdr:rowOff>55396</xdr:rowOff>
    </xdr:from>
    <xdr:ext cx="1309219" cy="354180"/>
    <xdr:sp macro="[0]!Rese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121262" y="1493671"/>
          <a:ext cx="1309219" cy="354180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AU" sz="2400" b="1">
              <a:solidFill>
                <a:srgbClr val="FF0000"/>
              </a:solidFill>
            </a:rPr>
            <a:t>Reset</a:t>
          </a:r>
        </a:p>
      </xdr:txBody>
    </xdr:sp>
    <xdr:clientData/>
  </xdr:oneCellAnchor>
  <xdr:twoCellAnchor>
    <xdr:from>
      <xdr:col>12</xdr:col>
      <xdr:colOff>92309</xdr:colOff>
      <xdr:row>16</xdr:row>
      <xdr:rowOff>114300</xdr:rowOff>
    </xdr:from>
    <xdr:to>
      <xdr:col>16</xdr:col>
      <xdr:colOff>418185</xdr:colOff>
      <xdr:row>20</xdr:row>
      <xdr:rowOff>78883</xdr:rowOff>
    </xdr:to>
    <xdr:grpSp>
      <xdr:nvGrpSpPr>
        <xdr:cNvPr id="21" name="Group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7364927" y="4025153"/>
          <a:ext cx="2656699" cy="547289"/>
          <a:chOff x="6815838" y="3876877"/>
          <a:chExt cx="3580928" cy="827301"/>
        </a:xfrm>
      </xdr:grpSpPr>
      <xdr:pic macro="[0]!Earth">
        <xdr:nvPicPr>
          <xdr:cNvPr id="9" name="Picture 8" descr="Apply the Earths Gravity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/>
          <a:stretch>
            <a:fillRect/>
          </a:stretch>
        </xdr:blipFill>
        <xdr:spPr>
          <a:xfrm>
            <a:off x="7461469" y="3886776"/>
            <a:ext cx="545253" cy="463418"/>
          </a:xfrm>
          <a:prstGeom prst="rect">
            <a:avLst/>
          </a:prstGeom>
        </xdr:spPr>
      </xdr:pic>
      <xdr:pic macro="[0]!Moon">
        <xdr:nvPicPr>
          <xdr:cNvPr id="10" name="Picture 9" descr="Apply the Moon's Gravity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/>
          <a:stretch>
            <a:fillRect/>
          </a:stretch>
        </xdr:blipFill>
        <xdr:spPr>
          <a:xfrm>
            <a:off x="6815838" y="3876877"/>
            <a:ext cx="556423" cy="483213"/>
          </a:xfrm>
          <a:prstGeom prst="rect">
            <a:avLst/>
          </a:prstGeom>
        </xdr:spPr>
      </xdr:pic>
      <xdr:pic macro="[0]!Sun">
        <xdr:nvPicPr>
          <xdr:cNvPr id="11" name="Picture 10" descr="Apply the Suns Gravity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/>
          <a:stretch>
            <a:fillRect/>
          </a:stretch>
        </xdr:blipFill>
        <xdr:spPr>
          <a:xfrm>
            <a:off x="8757314" y="3885380"/>
            <a:ext cx="535930" cy="466208"/>
          </a:xfrm>
          <a:prstGeom prst="rect">
            <a:avLst/>
          </a:prstGeom>
        </xdr:spPr>
      </xdr:pic>
    </xdr:grpSp>
    <xdr:clientData/>
  </xdr:twoCellAnchor>
  <xdr:oneCellAnchor>
    <xdr:from>
      <xdr:col>0</xdr:col>
      <xdr:colOff>114300</xdr:colOff>
      <xdr:row>4</xdr:row>
      <xdr:rowOff>18160</xdr:rowOff>
    </xdr:from>
    <xdr:ext cx="2441864" cy="484955"/>
    <xdr:sp macro="[0]!Start_Stop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4300" y="913510"/>
          <a:ext cx="2441864" cy="484955"/>
        </a:xfrm>
        <a:prstGeom prst="roundRect">
          <a:avLst/>
        </a:prstGeom>
        <a:ln>
          <a:solidFill>
            <a:srgbClr val="0000FF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wrap="square" lIns="0" tIns="0" rIns="0" bIns="0" rtlCol="0" anchor="ctr">
          <a:spAutoFit/>
        </a:bodyPr>
        <a:lstStyle/>
        <a:p>
          <a:pPr algn="ctr"/>
          <a:r>
            <a:rPr lang="en-AU" sz="2800" b="1">
              <a:solidFill>
                <a:srgbClr val="FF0000"/>
              </a:solidFill>
            </a:rPr>
            <a:t>Start/Stop</a:t>
          </a:r>
        </a:p>
      </xdr:txBody>
    </xdr:sp>
    <xdr:clientData/>
  </xdr:oneCellAnchor>
  <xdr:oneCellAnchor>
    <xdr:from>
      <xdr:col>1</xdr:col>
      <xdr:colOff>284513</xdr:colOff>
      <xdr:row>1</xdr:row>
      <xdr:rowOff>33618</xdr:rowOff>
    </xdr:from>
    <xdr:ext cx="7846892" cy="563552"/>
    <xdr:sp macro="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878425" y="179294"/>
          <a:ext cx="7846892" cy="563552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r>
            <a:rPr lang="en-AU" sz="3600" b="1">
              <a:solidFill>
                <a:srgbClr val="0000FF"/>
              </a:solidFill>
            </a:rPr>
            <a:t>Dynamically Defined Dancing Pendulums</a:t>
          </a:r>
        </a:p>
      </xdr:txBody>
    </xdr:sp>
    <xdr:clientData/>
  </xdr:oneCellAnchor>
  <xdr:twoCellAnchor>
    <xdr:from>
      <xdr:col>0</xdr:col>
      <xdr:colOff>96734</xdr:colOff>
      <xdr:row>10</xdr:row>
      <xdr:rowOff>28575</xdr:rowOff>
    </xdr:from>
    <xdr:to>
      <xdr:col>11</xdr:col>
      <xdr:colOff>461035</xdr:colOff>
      <xdr:row>41</xdr:row>
      <xdr:rowOff>19668</xdr:rowOff>
    </xdr:to>
    <xdr:graphicFrame macro="">
      <xdr:nvGraphicFramePr>
        <xdr:cNvPr id="14" name="Chart1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21853</xdr:colOff>
      <xdr:row>10</xdr:row>
      <xdr:rowOff>7924</xdr:rowOff>
    </xdr:from>
    <xdr:to>
      <xdr:col>18</xdr:col>
      <xdr:colOff>209550</xdr:colOff>
      <xdr:row>13</xdr:row>
      <xdr:rowOff>37840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10163177" y="2439600"/>
          <a:ext cx="725579" cy="1072064"/>
          <a:chOff x="9434794" y="2439600"/>
          <a:chExt cx="725580" cy="1072064"/>
        </a:xfrm>
      </xdr:grpSpPr>
      <xdr:sp macro="[0]!Sheet1.Top" textlink="">
        <xdr:nvSpPr>
          <xdr:cNvPr id="15" name="Rounded Rectangle 1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/>
        </xdr:nvSpPr>
        <xdr:spPr>
          <a:xfrm>
            <a:off x="9434794" y="243960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Top</a:t>
            </a:r>
          </a:p>
        </xdr:txBody>
      </xdr:sp>
      <xdr:sp macro="[0]!Sheet1.Side" textlink="">
        <xdr:nvSpPr>
          <xdr:cNvPr id="16" name="Rounded Rectangle 15">
            <a:extLst>
              <a:ext uri="{FF2B5EF4-FFF2-40B4-BE49-F238E27FC236}">
                <a16:creationId xmlns:a16="http://schemas.microsoft.com/office/drawing/2014/main" id="{00000000-0008-0000-0000-000010000000}"/>
              </a:ext>
            </a:extLst>
          </xdr:cNvPr>
          <xdr:cNvSpPr/>
        </xdr:nvSpPr>
        <xdr:spPr>
          <a:xfrm>
            <a:off x="9434794" y="3010540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Side</a:t>
            </a:r>
          </a:p>
        </xdr:txBody>
      </xdr:sp>
      <xdr:sp macro="[0]!Sheet1.Front" textlink="">
        <xdr:nvSpPr>
          <xdr:cNvPr id="17" name="Rounded Rectangle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SpPr/>
        </xdr:nvSpPr>
        <xdr:spPr>
          <a:xfrm>
            <a:off x="9434794" y="2725071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600" b="1">
                <a:solidFill>
                  <a:srgbClr val="FF0000"/>
                </a:solidFill>
              </a:rPr>
              <a:t>Front</a:t>
            </a:r>
          </a:p>
        </xdr:txBody>
      </xdr:sp>
      <xdr:sp macro="[0]!Sheet1.Perspective" textlink="">
        <xdr:nvSpPr>
          <xdr:cNvPr id="19" name="Rounded Rectangl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>
            <a:off x="9446000" y="3290688"/>
            <a:ext cx="714374" cy="220976"/>
          </a:xfrm>
          <a:prstGeom prst="roundRect">
            <a:avLst/>
          </a:prstGeom>
          <a:ln>
            <a:solidFill>
              <a:srgbClr val="0000FF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>
            <a:noAutofit/>
          </a:bodyPr>
          <a:lstStyle/>
          <a:p>
            <a:pPr algn="ctr"/>
            <a:r>
              <a:rPr lang="en-AU" sz="1000" b="1">
                <a:solidFill>
                  <a:srgbClr val="FF0000"/>
                </a:solidFill>
              </a:rPr>
              <a:t>Perspective</a:t>
            </a:r>
            <a:endParaRPr lang="en-AU" sz="1600" b="1">
              <a:solidFill>
                <a:srgbClr val="FF0000"/>
              </a:solidFill>
            </a:endParaRP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28575</xdr:colOff>
          <xdr:row>19</xdr:row>
          <xdr:rowOff>85725</xdr:rowOff>
        </xdr:from>
        <xdr:to>
          <xdr:col>18</xdr:col>
          <xdr:colOff>200026</xdr:colOff>
          <xdr:row>20</xdr:row>
          <xdr:rowOff>123825</xdr:rowOff>
        </xdr:to>
        <xdr:sp macro="" textlink="">
          <xdr:nvSpPr>
            <xdr:cNvPr id="1027" name="ScrollBar1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30</xdr:row>
          <xdr:rowOff>38100</xdr:rowOff>
        </xdr:from>
        <xdr:to>
          <xdr:col>14</xdr:col>
          <xdr:colOff>123825</xdr:colOff>
          <xdr:row>35</xdr:row>
          <xdr:rowOff>104775</xdr:rowOff>
        </xdr:to>
        <xdr:grpSp>
          <xdr:nvGrpSpPr>
            <xdr:cNvPr id="1057" name="Group 33">
              <a:extLs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339293" y="6022041"/>
              <a:ext cx="1312208" cy="795058"/>
              <a:chOff x="1242" y="667"/>
              <a:chExt cx="243" cy="91"/>
            </a:xfrm>
          </xdr:grpSpPr>
          <xdr:sp macro="" textlink="">
            <xdr:nvSpPr>
              <xdr:cNvPr id="1040" name="Option Butto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1245" y="678"/>
                <a:ext cx="236" cy="27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Black</a:t>
                </a:r>
              </a:p>
            </xdr:txBody>
          </xdr:sp>
          <xdr:sp macro="" textlink="">
            <xdr:nvSpPr>
              <xdr:cNvPr id="1041" name="Option Button 17" hidden="1">
                <a:extLst>
                  <a:ext uri="{63B3BB69-23CF-44E3-9099-C40C66FF867C}">
                    <a14:compatExt spid="_x0000_s1041"/>
                  </a:ext>
                  <a:ext uri="{FF2B5EF4-FFF2-40B4-BE49-F238E27FC236}">
                    <a16:creationId xmlns:a16="http://schemas.microsoft.com/office/drawing/2014/main" id="{00000000-0008-0000-0000-000011040000}"/>
                  </a:ext>
                </a:extLst>
              </xdr:cNvPr>
              <xdr:cNvSpPr/>
            </xdr:nvSpPr>
            <xdr:spPr bwMode="auto">
              <a:xfrm>
                <a:off x="1245" y="701"/>
                <a:ext cx="236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42" name="Option Button 18" hidden="1">
                <a:extLst>
                  <a:ext uri="{63B3BB69-23CF-44E3-9099-C40C66FF867C}">
                    <a14:compatExt spid="_x0000_s1042"/>
                  </a:ext>
                  <a:ext uri="{FF2B5EF4-FFF2-40B4-BE49-F238E27FC236}">
                    <a16:creationId xmlns:a16="http://schemas.microsoft.com/office/drawing/2014/main" id="{00000000-0008-0000-0000-000012040000}"/>
                  </a:ext>
                </a:extLst>
              </xdr:cNvPr>
              <xdr:cNvSpPr/>
            </xdr:nvSpPr>
            <xdr:spPr bwMode="auto">
              <a:xfrm>
                <a:off x="1245" y="727"/>
                <a:ext cx="236" cy="28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None</a:t>
                </a:r>
              </a:p>
            </xdr:txBody>
          </xdr:sp>
          <xdr:sp macro="" textlink="">
            <xdr:nvSpPr>
              <xdr:cNvPr id="1043" name="Group Box 19" hidden="1">
                <a:extLst>
                  <a:ext uri="{63B3BB69-23CF-44E3-9099-C40C66FF867C}">
                    <a14:compatExt spid="_x0000_s1043"/>
                  </a:ext>
                  <a:ext uri="{FF2B5EF4-FFF2-40B4-BE49-F238E27FC236}">
                    <a16:creationId xmlns:a16="http://schemas.microsoft.com/office/drawing/2014/main" id="{00000000-0008-0000-0000-000013040000}"/>
                  </a:ext>
                </a:extLst>
              </xdr:cNvPr>
              <xdr:cNvSpPr/>
            </xdr:nvSpPr>
            <xdr:spPr bwMode="auto">
              <a:xfrm>
                <a:off x="1242" y="667"/>
                <a:ext cx="243" cy="9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Wire Color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24</xdr:row>
          <xdr:rowOff>28575</xdr:rowOff>
        </xdr:from>
        <xdr:to>
          <xdr:col>14</xdr:col>
          <xdr:colOff>133350</xdr:colOff>
          <xdr:row>29</xdr:row>
          <xdr:rowOff>0</xdr:rowOff>
        </xdr:to>
        <xdr:grpSp>
          <xdr:nvGrpSpPr>
            <xdr:cNvPr id="1059" name="Group 35">
              <a:extLst>
                <a:ext uri="{FF2B5EF4-FFF2-40B4-BE49-F238E27FC236}">
                  <a16:creationId xmlns:a16="http://schemas.microsoft.com/office/drawing/2014/main" id="{00000000-0008-0000-0000-000023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7339293" y="5104840"/>
              <a:ext cx="1321733" cy="733425"/>
              <a:chOff x="841" y="458"/>
              <a:chExt cx="241" cy="101"/>
            </a:xfrm>
          </xdr:grpSpPr>
          <xdr:sp macro="" textlink="">
            <xdr:nvSpPr>
              <xdr:cNvPr id="1033" name="Group Box 9" hidden="1">
                <a:extLst>
                  <a:ext uri="{63B3BB69-23CF-44E3-9099-C40C66FF867C}">
                    <a14:compatExt spid="_x0000_s1033"/>
                  </a:ext>
                  <a:ext uri="{FF2B5EF4-FFF2-40B4-BE49-F238E27FC236}">
                    <a16:creationId xmlns:a16="http://schemas.microsoft.com/office/drawing/2014/main" id="{00000000-0008-0000-0000-000009040000}"/>
                  </a:ext>
                </a:extLst>
              </xdr:cNvPr>
              <xdr:cNvSpPr/>
            </xdr:nvSpPr>
            <xdr:spPr bwMode="auto">
              <a:xfrm>
                <a:off x="841" y="458"/>
                <a:ext cx="241" cy="10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Pendulum Color</a:t>
                </a:r>
              </a:p>
            </xdr:txBody>
          </xdr:sp>
          <xdr:sp macro="" textlink="">
            <xdr:nvSpPr>
              <xdr:cNvPr id="1050" name="Option Button 26" hidden="1">
                <a:extLst>
                  <a:ext uri="{63B3BB69-23CF-44E3-9099-C40C66FF867C}">
                    <a14:compatExt spid="_x0000_s1050"/>
                  </a:ext>
                  <a:ext uri="{FF2B5EF4-FFF2-40B4-BE49-F238E27FC236}">
                    <a16:creationId xmlns:a16="http://schemas.microsoft.com/office/drawing/2014/main" id="{00000000-0008-0000-0000-00001A040000}"/>
                  </a:ext>
                </a:extLst>
              </xdr:cNvPr>
              <xdr:cNvSpPr/>
            </xdr:nvSpPr>
            <xdr:spPr bwMode="auto">
              <a:xfrm>
                <a:off x="848" y="465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Colored</a:t>
                </a:r>
              </a:p>
            </xdr:txBody>
          </xdr:sp>
          <xdr:sp macro="" textlink="">
            <xdr:nvSpPr>
              <xdr:cNvPr id="1051" name="Option Button 27" hidden="1">
                <a:extLst>
                  <a:ext uri="{63B3BB69-23CF-44E3-9099-C40C66FF867C}">
                    <a14:compatExt spid="_x0000_s1051"/>
                  </a:ext>
                  <a:ext uri="{FF2B5EF4-FFF2-40B4-BE49-F238E27FC236}">
                    <a16:creationId xmlns:a16="http://schemas.microsoft.com/office/drawing/2014/main" id="{00000000-0008-0000-0000-00001B040000}"/>
                  </a:ext>
                </a:extLst>
              </xdr:cNvPr>
              <xdr:cNvSpPr/>
            </xdr:nvSpPr>
            <xdr:spPr bwMode="auto">
              <a:xfrm>
                <a:off x="848" y="487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Grey</a:t>
                </a:r>
              </a:p>
            </xdr:txBody>
          </xdr:sp>
          <xdr:sp macro="" textlink="">
            <xdr:nvSpPr>
              <xdr:cNvPr id="1052" name="Option Button 28" hidden="1">
                <a:extLst>
                  <a:ext uri="{63B3BB69-23CF-44E3-9099-C40C66FF867C}">
                    <a14:compatExt spid="_x0000_s1052"/>
                  </a:ext>
                  <a:ext uri="{FF2B5EF4-FFF2-40B4-BE49-F238E27FC236}">
                    <a16:creationId xmlns:a16="http://schemas.microsoft.com/office/drawing/2014/main" id="{00000000-0008-0000-0000-00001C040000}"/>
                  </a:ext>
                </a:extLst>
              </xdr:cNvPr>
              <xdr:cNvSpPr/>
            </xdr:nvSpPr>
            <xdr:spPr bwMode="auto">
              <a:xfrm>
                <a:off x="848" y="510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Zebra</a:t>
                </a:r>
              </a:p>
            </xdr:txBody>
          </xdr:sp>
          <xdr:sp macro="" textlink="">
            <xdr:nvSpPr>
              <xdr:cNvPr id="1053" name="Option Button 29" hidden="1">
                <a:extLst>
                  <a:ext uri="{63B3BB69-23CF-44E3-9099-C40C66FF867C}">
                    <a14:compatExt spid="_x0000_s1053"/>
                  </a:ext>
                  <a:ext uri="{FF2B5EF4-FFF2-40B4-BE49-F238E27FC236}">
                    <a16:creationId xmlns:a16="http://schemas.microsoft.com/office/drawing/2014/main" id="{00000000-0008-0000-0000-00001D040000}"/>
                  </a:ext>
                </a:extLst>
              </xdr:cNvPr>
              <xdr:cNvSpPr/>
            </xdr:nvSpPr>
            <xdr:spPr bwMode="auto">
              <a:xfrm>
                <a:off x="848" y="532"/>
                <a:ext cx="232" cy="22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  <xdr:txBody>
              <a:bodyPr vertOverflow="clip" wrap="square" lIns="27432" tIns="18288" rIns="0" bIns="18288" anchor="ctr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Blend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28575</xdr:colOff>
          <xdr:row>10</xdr:row>
          <xdr:rowOff>9525</xdr:rowOff>
        </xdr:from>
        <xdr:to>
          <xdr:col>16</xdr:col>
          <xdr:colOff>428625</xdr:colOff>
          <xdr:row>12</xdr:row>
          <xdr:rowOff>342900</xdr:rowOff>
        </xdr:to>
        <xdr:grpSp>
          <xdr:nvGrpSpPr>
            <xdr:cNvPr id="1060" name="Group 36">
              <a:extLst>
                <a:ext uri="{FF2B5EF4-FFF2-40B4-BE49-F238E27FC236}">
                  <a16:creationId xmlns:a16="http://schemas.microsoft.com/office/drawing/2014/main" id="{00000000-0008-0000-0000-000024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556251" y="2441201"/>
              <a:ext cx="1475815" cy="1028140"/>
              <a:chOff x="816" y="284"/>
              <a:chExt cx="154" cy="109"/>
            </a:xfrm>
          </xdr:grpSpPr>
          <xdr:sp macro="" textlink="">
            <xdr:nvSpPr>
              <xdr:cNvPr id="1054" name="ScrollBar4" hidden="1">
                <a:extLst>
                  <a:ext uri="{63B3BB69-23CF-44E3-9099-C40C66FF867C}">
                    <a14:compatExt spid="_x0000_s1054"/>
                  </a:ext>
                  <a:ext uri="{FF2B5EF4-FFF2-40B4-BE49-F238E27FC236}">
                    <a16:creationId xmlns:a16="http://schemas.microsoft.com/office/drawing/2014/main" id="{00000000-0008-0000-0000-00001E040000}"/>
                  </a:ext>
                </a:extLst>
              </xdr:cNvPr>
              <xdr:cNvSpPr/>
            </xdr:nvSpPr>
            <xdr:spPr bwMode="auto">
              <a:xfrm>
                <a:off x="816" y="284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5" name="ScrollBar2" hidden="1">
                <a:extLst>
                  <a:ext uri="{63B3BB69-23CF-44E3-9099-C40C66FF867C}">
                    <a14:compatExt spid="_x0000_s1055"/>
                  </a:ext>
                  <a:ext uri="{FF2B5EF4-FFF2-40B4-BE49-F238E27FC236}">
                    <a16:creationId xmlns:a16="http://schemas.microsoft.com/office/drawing/2014/main" id="{00000000-0008-0000-0000-00001F040000}"/>
                  </a:ext>
                </a:extLst>
              </xdr:cNvPr>
              <xdr:cNvSpPr/>
            </xdr:nvSpPr>
            <xdr:spPr bwMode="auto">
              <a:xfrm>
                <a:off x="816" y="321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  <xdr:sp macro="" textlink="">
            <xdr:nvSpPr>
              <xdr:cNvPr id="1056" name="ScrollBar3" hidden="1">
                <a:extLst>
                  <a:ext uri="{63B3BB69-23CF-44E3-9099-C40C66FF867C}">
                    <a14:compatExt spid="_x0000_s1056"/>
                  </a:ext>
                  <a:ext uri="{FF2B5EF4-FFF2-40B4-BE49-F238E27FC236}">
                    <a16:creationId xmlns:a16="http://schemas.microsoft.com/office/drawing/2014/main" id="{00000000-0008-0000-0000-000020040000}"/>
                  </a:ext>
                </a:extLst>
              </xdr:cNvPr>
              <xdr:cNvSpPr/>
            </xdr:nvSpPr>
            <xdr:spPr bwMode="auto">
              <a:xfrm>
                <a:off x="817" y="358"/>
                <a:ext cx="153" cy="35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352419</xdr:colOff>
          <xdr:row>24</xdr:row>
          <xdr:rowOff>28575</xdr:rowOff>
        </xdr:from>
        <xdr:to>
          <xdr:col>17</xdr:col>
          <xdr:colOff>95243</xdr:colOff>
          <xdr:row>28</xdr:row>
          <xdr:rowOff>123825</xdr:rowOff>
        </xdr:to>
        <xdr:grpSp>
          <xdr:nvGrpSpPr>
            <xdr:cNvPr id="1066" name="Group 42">
              <a:extLst>
                <a:ext uri="{FF2B5EF4-FFF2-40B4-BE49-F238E27FC236}">
                  <a16:creationId xmlns:a16="http://schemas.microsoft.com/office/drawing/2014/main" id="{00000000-0008-0000-0000-00002A040000}"/>
                </a:ext>
              </a:extLst>
            </xdr:cNvPr>
            <xdr:cNvGrpSpPr>
              <a:grpSpLocks/>
            </xdr:cNvGrpSpPr>
          </xdr:nvGrpSpPr>
          <xdr:grpSpPr bwMode="auto">
            <a:xfrm>
              <a:off x="8880095" y="5104840"/>
              <a:ext cx="1356472" cy="711573"/>
              <a:chOff x="869" y="535"/>
              <a:chExt cx="141" cy="74"/>
            </a:xfrm>
          </xdr:grpSpPr>
          <xdr:grpSp>
            <xdr:nvGrpSpPr>
              <xdr:cNvPr id="1064" name="Group 40">
                <a:extLst>
                  <a:ext uri="{FF2B5EF4-FFF2-40B4-BE49-F238E27FC236}">
                    <a16:creationId xmlns:a16="http://schemas.microsoft.com/office/drawing/2014/main" id="{00000000-0008-0000-0000-000028040000}"/>
                  </a:ext>
                </a:extLst>
              </xdr:cNvPr>
              <xdr:cNvGrpSpPr>
                <a:grpSpLocks/>
              </xdr:cNvGrpSpPr>
            </xdr:nvGrpSpPr>
            <xdr:grpSpPr bwMode="auto">
              <a:xfrm>
                <a:off x="889" y="552"/>
                <a:ext cx="87" cy="50"/>
                <a:chOff x="888" y="536"/>
                <a:chExt cx="87" cy="50"/>
              </a:xfrm>
            </xdr:grpSpPr>
            <xdr:sp macro="" textlink="">
              <xdr:nvSpPr>
                <xdr:cNvPr id="1062" name="Check Box 38" hidden="1">
                  <a:extLst>
                    <a:ext uri="{63B3BB69-23CF-44E3-9099-C40C66FF867C}">
                      <a14:compatExt spid="_x0000_s1062"/>
                    </a:ext>
                    <a:ext uri="{FF2B5EF4-FFF2-40B4-BE49-F238E27FC236}">
                      <a16:creationId xmlns:a16="http://schemas.microsoft.com/office/drawing/2014/main" id="{00000000-0008-0000-0000-000026040000}"/>
                    </a:ext>
                  </a:extLst>
                </xdr:cNvPr>
                <xdr:cNvSpPr/>
              </xdr:nvSpPr>
              <xdr:spPr bwMode="auto">
                <a:xfrm>
                  <a:off x="888" y="536"/>
                  <a:ext cx="87" cy="2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CA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Frame</a:t>
                  </a:r>
                </a:p>
              </xdr:txBody>
            </xdr:sp>
            <xdr:sp macro="" textlink="">
              <xdr:nvSpPr>
                <xdr:cNvPr id="1063" name="Check Box 39" hidden="1">
                  <a:extLst>
                    <a:ext uri="{63B3BB69-23CF-44E3-9099-C40C66FF867C}">
                      <a14:compatExt spid="_x0000_s1063"/>
                    </a:ext>
                    <a:ext uri="{FF2B5EF4-FFF2-40B4-BE49-F238E27FC236}">
                      <a16:creationId xmlns:a16="http://schemas.microsoft.com/office/drawing/2014/main" id="{00000000-0008-0000-0000-000027040000}"/>
                    </a:ext>
                  </a:extLst>
                </xdr:cNvPr>
                <xdr:cNvSpPr/>
              </xdr:nvSpPr>
              <xdr:spPr bwMode="auto">
                <a:xfrm>
                  <a:off x="888" y="565"/>
                  <a:ext cx="87" cy="21"/>
                </a:xfrm>
                <a:prstGeom prst="rect">
                  <a:avLst/>
                </a:prstGeom>
                <a:noFill/>
                <a:ln>
                  <a:noFill/>
                </a:ln>
                <a:extLst>
                  <a:ext uri="{909E8E84-426E-40DD-AFC4-6F175D3DCCD1}">
                    <a14:hiddenFill>
                      <a:solidFill>
                        <a:srgbClr val="FFFFFF" mc:Ignorable="a14" a14:legacySpreadsheetColorIndex="65"/>
                      </a:solidFill>
                    </a14:hiddenFill>
                  </a:ext>
                  <a:ext uri="{91240B29-F687-4F45-9708-019B960494DF}">
                    <a14:hiddenLine w="9525">
                      <a:solidFill>
                        <a:srgbClr val="000000" mc:Ignorable="a14" a14:legacySpreadsheetColorIndex="64"/>
                      </a:solidFill>
                      <a:miter lim="800000"/>
                      <a:headEnd/>
                      <a:tailEnd/>
                    </a14:hiddenLine>
                  </a:ext>
                </a:extLst>
              </xdr:spPr>
              <xdr:txBody>
                <a:bodyPr vertOverflow="clip" wrap="square" lIns="27432" tIns="18288" rIns="0" bIns="18288" anchor="ctr" upright="1"/>
                <a:lstStyle/>
                <a:p>
                  <a:pPr algn="l" rtl="0">
                    <a:defRPr sz="1000"/>
                  </a:pPr>
                  <a:r>
                    <a:rPr lang="en-CA" sz="800" b="0" i="0" u="none" strike="noStrike" baseline="0">
                      <a:solidFill>
                        <a:srgbClr val="000000"/>
                      </a:solidFill>
                      <a:latin typeface="Tahoma"/>
                      <a:ea typeface="Tahoma"/>
                      <a:cs typeface="Tahoma"/>
                    </a:rPr>
                    <a:t>Show  Axis</a:t>
                  </a:r>
                </a:p>
              </xdr:txBody>
            </xdr:sp>
          </xdr:grpSp>
          <xdr:sp macro="" textlink="">
            <xdr:nvSpPr>
              <xdr:cNvPr id="1065" name="Group Box 41" hidden="1">
                <a:extLst>
                  <a:ext uri="{63B3BB69-23CF-44E3-9099-C40C66FF867C}">
                    <a14:compatExt spid="_x0000_s1065"/>
                  </a:ext>
                  <a:ext uri="{FF2B5EF4-FFF2-40B4-BE49-F238E27FC236}">
                    <a16:creationId xmlns:a16="http://schemas.microsoft.com/office/drawing/2014/main" id="{00000000-0008-0000-0000-000029040000}"/>
                  </a:ext>
                </a:extLst>
              </xdr:cNvPr>
              <xdr:cNvSpPr/>
            </xdr:nvSpPr>
            <xdr:spPr bwMode="auto">
              <a:xfrm>
                <a:off x="869" y="535"/>
                <a:ext cx="141" cy="7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  <a:extLst>
                <a:ext uri="{909E8E84-426E-40DD-AFC4-6F175D3DCCD1}">
                  <a14:hiddenFill>
                    <a:noFill/>
                  </a14:hiddenFill>
                </a:ext>
              </a:extLst>
            </xdr:spPr>
            <xdr:txBody>
              <a:bodyPr vertOverflow="clip" wrap="none" lIns="27432" tIns="18288" rIns="0" bIns="0" anchor="t" upright="1"/>
              <a:lstStyle/>
              <a:p>
                <a:pPr algn="l" rtl="0">
                  <a:defRPr sz="1000"/>
                </a:pPr>
                <a:r>
                  <a:rPr lang="en-CA" sz="800" b="0" i="0" u="none" strike="noStrike" baseline="0">
                    <a:solidFill>
                      <a:srgbClr val="000000"/>
                    </a:solidFill>
                    <a:latin typeface="Tahoma"/>
                    <a:ea typeface="Tahoma"/>
                    <a:cs typeface="Tahoma"/>
                  </a:rPr>
                  <a:t>Structures</a:t>
                </a:r>
              </a:p>
            </xdr:txBody>
          </xdr:sp>
        </xdr:grp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438150</xdr:colOff>
          <xdr:row>30</xdr:row>
          <xdr:rowOff>104775</xdr:rowOff>
        </xdr:from>
        <xdr:to>
          <xdr:col>18</xdr:col>
          <xdr:colOff>219075</xdr:colOff>
          <xdr:row>32</xdr:row>
          <xdr:rowOff>28575</xdr:rowOff>
        </xdr:to>
        <xdr:sp macro="" textlink="">
          <xdr:nvSpPr>
            <xdr:cNvPr id="2" name="Check Box 42" hidden="1">
              <a:extLst>
                <a:ext uri="{63B3BB69-23CF-44E3-9099-C40C66FF867C}">
                  <a14:compatExt spid="_x0000_s1066"/>
                </a:ext>
                <a:ext uri="{FF2B5EF4-FFF2-40B4-BE49-F238E27FC236}">
                  <a16:creationId xmlns:a16="http://schemas.microsoft.com/office/drawing/2014/main" id="{00000000-0008-0000-00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Animate Y Axis Rotation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.xml"/><Relationship Id="rId13" Type="http://schemas.openxmlformats.org/officeDocument/2006/relationships/ctrlProp" Target="../ctrlProps/ctrlProp1.xml"/><Relationship Id="rId18" Type="http://schemas.openxmlformats.org/officeDocument/2006/relationships/ctrlProp" Target="../ctrlProps/ctrlProp6.xml"/><Relationship Id="rId26" Type="http://schemas.openxmlformats.org/officeDocument/2006/relationships/comments" Target="../comments1.xml"/><Relationship Id="rId3" Type="http://schemas.openxmlformats.org/officeDocument/2006/relationships/printerSettings" Target="../printerSettings/printerSettings1.bin"/><Relationship Id="rId21" Type="http://schemas.openxmlformats.org/officeDocument/2006/relationships/ctrlProp" Target="../ctrlProps/ctrlProp9.xml"/><Relationship Id="rId7" Type="http://schemas.openxmlformats.org/officeDocument/2006/relationships/image" Target="../media/image1.emf"/><Relationship Id="rId12" Type="http://schemas.openxmlformats.org/officeDocument/2006/relationships/image" Target="../media/image3.emf"/><Relationship Id="rId17" Type="http://schemas.openxmlformats.org/officeDocument/2006/relationships/ctrlProp" Target="../ctrlProps/ctrlProp5.xml"/><Relationship Id="rId25" Type="http://schemas.openxmlformats.org/officeDocument/2006/relationships/ctrlProp" Target="../ctrlProps/ctrlProp13.xml"/><Relationship Id="rId2" Type="http://schemas.openxmlformats.org/officeDocument/2006/relationships/hyperlink" Target="http://newtonexcelbach.wordpress.com/2011/05/30/dynamically-defined-dancing-pendulums/" TargetMode="External"/><Relationship Id="rId16" Type="http://schemas.openxmlformats.org/officeDocument/2006/relationships/ctrlProp" Target="../ctrlProps/ctrlProp4.xml"/><Relationship Id="rId20" Type="http://schemas.openxmlformats.org/officeDocument/2006/relationships/ctrlProp" Target="../ctrlProps/ctrlProp8.xml"/><Relationship Id="rId1" Type="http://schemas.openxmlformats.org/officeDocument/2006/relationships/hyperlink" Target="http://www.andypope.info/charts/3drotate.htm" TargetMode="External"/><Relationship Id="rId6" Type="http://schemas.openxmlformats.org/officeDocument/2006/relationships/control" Target="../activeX/activeX1.xml"/><Relationship Id="rId11" Type="http://schemas.openxmlformats.org/officeDocument/2006/relationships/control" Target="../activeX/activeX4.xml"/><Relationship Id="rId24" Type="http://schemas.openxmlformats.org/officeDocument/2006/relationships/ctrlProp" Target="../ctrlProps/ctrlProp12.xml"/><Relationship Id="rId5" Type="http://schemas.openxmlformats.org/officeDocument/2006/relationships/vmlDrawing" Target="../drawings/vmlDrawing1.vml"/><Relationship Id="rId15" Type="http://schemas.openxmlformats.org/officeDocument/2006/relationships/ctrlProp" Target="../ctrlProps/ctrlProp3.xml"/><Relationship Id="rId23" Type="http://schemas.openxmlformats.org/officeDocument/2006/relationships/ctrlProp" Target="../ctrlProps/ctrlProp11.xml"/><Relationship Id="rId10" Type="http://schemas.openxmlformats.org/officeDocument/2006/relationships/image" Target="../media/image2.emf"/><Relationship Id="rId19" Type="http://schemas.openxmlformats.org/officeDocument/2006/relationships/ctrlProp" Target="../ctrlProps/ctrlProp7.xml"/><Relationship Id="rId4" Type="http://schemas.openxmlformats.org/officeDocument/2006/relationships/drawing" Target="../drawings/drawing1.xml"/><Relationship Id="rId9" Type="http://schemas.openxmlformats.org/officeDocument/2006/relationships/control" Target="../activeX/activeX3.xml"/><Relationship Id="rId14" Type="http://schemas.openxmlformats.org/officeDocument/2006/relationships/ctrlProp" Target="../ctrlProps/ctrlProp2.xml"/><Relationship Id="rId22" Type="http://schemas.openxmlformats.org/officeDocument/2006/relationships/ctrlProp" Target="../ctrlProps/ctrlProp10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trlProp" Target="../ctrlProps/ctrlProp14.xml"/><Relationship Id="rId18" Type="http://schemas.openxmlformats.org/officeDocument/2006/relationships/ctrlProp" Target="../ctrlProps/ctrlProp19.xml"/><Relationship Id="rId26" Type="http://schemas.openxmlformats.org/officeDocument/2006/relationships/comments" Target="../comments2.xml"/><Relationship Id="rId3" Type="http://schemas.openxmlformats.org/officeDocument/2006/relationships/printerSettings" Target="../printerSettings/printerSettings2.bin"/><Relationship Id="rId21" Type="http://schemas.openxmlformats.org/officeDocument/2006/relationships/ctrlProp" Target="../ctrlProps/ctrlProp22.xml"/><Relationship Id="rId7" Type="http://schemas.openxmlformats.org/officeDocument/2006/relationships/image" Target="../media/image7.emf"/><Relationship Id="rId12" Type="http://schemas.openxmlformats.org/officeDocument/2006/relationships/control" Target="../activeX/activeX8.xml"/><Relationship Id="rId17" Type="http://schemas.openxmlformats.org/officeDocument/2006/relationships/ctrlProp" Target="../ctrlProps/ctrlProp18.xml"/><Relationship Id="rId25" Type="http://schemas.openxmlformats.org/officeDocument/2006/relationships/ctrlProp" Target="../ctrlProps/ctrlProp26.xml"/><Relationship Id="rId2" Type="http://schemas.openxmlformats.org/officeDocument/2006/relationships/hyperlink" Target="http://newtonexcelbach.wordpress.com/2011/05/30/dynamically-defined-dancing-pendulums/" TargetMode="External"/><Relationship Id="rId16" Type="http://schemas.openxmlformats.org/officeDocument/2006/relationships/ctrlProp" Target="../ctrlProps/ctrlProp17.xml"/><Relationship Id="rId20" Type="http://schemas.openxmlformats.org/officeDocument/2006/relationships/ctrlProp" Target="../ctrlProps/ctrlProp21.xml"/><Relationship Id="rId1" Type="http://schemas.openxmlformats.org/officeDocument/2006/relationships/hyperlink" Target="http://www.andypope.info/charts/3drotate.htm" TargetMode="External"/><Relationship Id="rId6" Type="http://schemas.openxmlformats.org/officeDocument/2006/relationships/control" Target="../activeX/activeX5.xml"/><Relationship Id="rId11" Type="http://schemas.openxmlformats.org/officeDocument/2006/relationships/image" Target="../media/image1.emf"/><Relationship Id="rId24" Type="http://schemas.openxmlformats.org/officeDocument/2006/relationships/ctrlProp" Target="../ctrlProps/ctrlProp25.xml"/><Relationship Id="rId5" Type="http://schemas.openxmlformats.org/officeDocument/2006/relationships/vmlDrawing" Target="../drawings/vmlDrawing2.vml"/><Relationship Id="rId15" Type="http://schemas.openxmlformats.org/officeDocument/2006/relationships/ctrlProp" Target="../ctrlProps/ctrlProp16.xml"/><Relationship Id="rId23" Type="http://schemas.openxmlformats.org/officeDocument/2006/relationships/ctrlProp" Target="../ctrlProps/ctrlProp24.xml"/><Relationship Id="rId10" Type="http://schemas.openxmlformats.org/officeDocument/2006/relationships/control" Target="../activeX/activeX7.xml"/><Relationship Id="rId19" Type="http://schemas.openxmlformats.org/officeDocument/2006/relationships/ctrlProp" Target="../ctrlProps/ctrlProp20.xml"/><Relationship Id="rId4" Type="http://schemas.openxmlformats.org/officeDocument/2006/relationships/drawing" Target="../drawings/drawing2.xml"/><Relationship Id="rId9" Type="http://schemas.openxmlformats.org/officeDocument/2006/relationships/image" Target="../media/image2.emf"/><Relationship Id="rId14" Type="http://schemas.openxmlformats.org/officeDocument/2006/relationships/ctrlProp" Target="../ctrlProps/ctrlProp15.xml"/><Relationship Id="rId22" Type="http://schemas.openxmlformats.org/officeDocument/2006/relationships/ctrlProp" Target="../ctrlProps/ctrlProp2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8099F0-FB50-493B-9256-BA37078A88B8}">
  <sheetPr codeName="Sheet2"/>
  <dimension ref="A1:AW557"/>
  <sheetViews>
    <sheetView zoomScale="85" zoomScaleNormal="85" workbookViewId="0">
      <selection activeCell="O8" sqref="O8"/>
    </sheetView>
  </sheetViews>
  <sheetFormatPr defaultRowHeight="11.25"/>
  <cols>
    <col min="1" max="1" width="10.33203125" customWidth="1"/>
    <col min="2" max="2" width="9" customWidth="1"/>
    <col min="3" max="3" width="13.5" customWidth="1"/>
    <col min="4" max="4" width="9.33203125" customWidth="1"/>
    <col min="8" max="8" width="19" customWidth="1"/>
    <col min="13" max="13" width="12.5" customWidth="1"/>
    <col min="16" max="16" width="9.33203125" customWidth="1"/>
    <col min="22" max="22" width="46.5" customWidth="1"/>
    <col min="27" max="27" width="12.83203125" bestFit="1" customWidth="1"/>
    <col min="43" max="43" width="165.6640625" customWidth="1"/>
  </cols>
  <sheetData>
    <row r="1" spans="1:49" ht="11.25" customHeight="1" thickBot="1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" thickTop="1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30"/>
      <c r="P2" s="30"/>
      <c r="Q2" s="30"/>
      <c r="R2" s="30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3.25">
      <c r="A3" s="32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1"/>
      <c r="U3" s="1"/>
      <c r="V3" s="1"/>
      <c r="W3" s="1"/>
      <c r="X3" s="1"/>
      <c r="Y3" s="1"/>
      <c r="Z3" s="1"/>
      <c r="AA3" s="48" t="s">
        <v>16</v>
      </c>
      <c r="AB3" s="53">
        <v>5.0000000000000001E-3</v>
      </c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s="17" customFormat="1" ht="12.75">
      <c r="A4" s="36"/>
      <c r="B4" s="37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  <c r="R4" s="38"/>
      <c r="S4" s="40"/>
      <c r="T4" s="15"/>
      <c r="U4" s="15"/>
      <c r="V4" s="15"/>
      <c r="W4" s="16"/>
      <c r="X4" s="16"/>
      <c r="Y4" s="16"/>
      <c r="Z4" s="16"/>
      <c r="AA4" s="77" t="s">
        <v>17</v>
      </c>
      <c r="AB4" s="54">
        <v>15</v>
      </c>
      <c r="AC4" s="16"/>
      <c r="AD4" s="16"/>
      <c r="AE4" s="16"/>
      <c r="AF4" s="16"/>
      <c r="AG4" s="1"/>
      <c r="AH4" s="1"/>
      <c r="AI4" s="1"/>
      <c r="AJ4" s="1"/>
      <c r="AK4" s="1"/>
      <c r="AL4" s="1"/>
      <c r="AM4" s="1"/>
      <c r="AN4" s="1"/>
      <c r="AO4" s="16"/>
      <c r="AP4" s="16"/>
      <c r="AQ4" s="16"/>
      <c r="AR4" s="16"/>
      <c r="AS4" s="16"/>
      <c r="AT4" s="16"/>
      <c r="AU4" s="16"/>
      <c r="AV4" s="16"/>
      <c r="AW4" s="16"/>
    </row>
    <row r="5" spans="1:49" ht="21">
      <c r="A5" s="41"/>
      <c r="B5" s="37"/>
      <c r="C5" s="38"/>
      <c r="D5" s="38"/>
      <c r="E5" s="34"/>
      <c r="F5" s="38"/>
      <c r="G5" s="42" t="s">
        <v>6</v>
      </c>
      <c r="H5" s="18">
        <v>5.0000000000000001E-3</v>
      </c>
      <c r="I5" s="43" t="s">
        <v>8</v>
      </c>
      <c r="J5" s="38"/>
      <c r="K5" s="38"/>
      <c r="L5" s="34"/>
      <c r="M5" s="34"/>
      <c r="N5" s="38"/>
      <c r="O5" s="42" t="s">
        <v>12</v>
      </c>
      <c r="P5" s="57" t="s">
        <v>13</v>
      </c>
      <c r="Q5" s="34"/>
      <c r="R5" s="34"/>
      <c r="S5" s="35"/>
      <c r="T5" s="1"/>
      <c r="U5" s="1"/>
      <c r="V5" s="1"/>
      <c r="W5" s="1"/>
      <c r="X5" s="1"/>
      <c r="Y5" s="1"/>
      <c r="Z5" s="1"/>
      <c r="AA5" s="48" t="s">
        <v>1</v>
      </c>
      <c r="AB5" s="54">
        <v>23750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>
      <c r="A6" s="41"/>
      <c r="B6" s="37"/>
      <c r="C6" s="38"/>
      <c r="D6" s="38"/>
      <c r="E6" s="34"/>
      <c r="F6" s="38"/>
      <c r="G6" s="42" t="s">
        <v>3</v>
      </c>
      <c r="H6" s="19">
        <v>10</v>
      </c>
      <c r="I6" s="43" t="s">
        <v>2</v>
      </c>
      <c r="J6" s="38"/>
      <c r="K6" s="38"/>
      <c r="L6" s="34"/>
      <c r="M6" s="34"/>
      <c r="N6" s="38"/>
      <c r="O6" s="42" t="s">
        <v>7</v>
      </c>
      <c r="P6" s="44" t="s">
        <v>11</v>
      </c>
      <c r="Q6" s="34"/>
      <c r="R6" s="34"/>
      <c r="S6" s="35"/>
      <c r="T6" s="1"/>
      <c r="U6" s="1"/>
      <c r="V6" s="1"/>
      <c r="W6" s="1"/>
      <c r="X6" s="1"/>
      <c r="Y6" s="1"/>
      <c r="Z6" s="1"/>
      <c r="AA6" s="48" t="s">
        <v>33</v>
      </c>
      <c r="AB6" s="54" t="b">
        <v>0</v>
      </c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3.25">
      <c r="A7" s="41"/>
      <c r="B7" s="37"/>
      <c r="C7" s="38"/>
      <c r="D7" s="38"/>
      <c r="E7" s="34"/>
      <c r="F7" s="38"/>
      <c r="G7" s="42" t="s">
        <v>1</v>
      </c>
      <c r="H7" s="19">
        <f>+AB5</f>
        <v>23750</v>
      </c>
      <c r="I7" s="43" t="s">
        <v>24</v>
      </c>
      <c r="J7" s="38"/>
      <c r="K7" s="38"/>
      <c r="L7" s="34"/>
      <c r="M7" s="34"/>
      <c r="N7" s="38"/>
      <c r="O7" s="42" t="s">
        <v>22</v>
      </c>
      <c r="P7" s="44" t="s">
        <v>23</v>
      </c>
      <c r="Q7" s="34"/>
      <c r="R7" s="34"/>
      <c r="S7" s="35"/>
      <c r="T7" s="1"/>
      <c r="U7" s="1"/>
      <c r="V7" s="1"/>
      <c r="W7" s="1"/>
      <c r="X7" s="1"/>
      <c r="Y7" s="1"/>
      <c r="Z7" s="1"/>
      <c r="AA7" s="48" t="s">
        <v>18</v>
      </c>
      <c r="AB7" s="54" t="b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>
      <c r="A8" s="41"/>
      <c r="B8" s="37"/>
      <c r="C8" s="38"/>
      <c r="D8" s="38"/>
      <c r="E8" s="34"/>
      <c r="F8" s="38"/>
      <c r="G8" s="42" t="s">
        <v>14</v>
      </c>
      <c r="H8" s="20">
        <v>11</v>
      </c>
      <c r="I8" s="43" t="s">
        <v>15</v>
      </c>
      <c r="J8" s="38"/>
      <c r="K8" s="38"/>
      <c r="L8" s="34"/>
      <c r="M8" s="34"/>
      <c r="N8" s="34"/>
      <c r="O8" s="34"/>
      <c r="P8" s="34"/>
      <c r="Q8" s="34"/>
      <c r="R8" s="34"/>
      <c r="S8" s="35"/>
      <c r="T8" s="1"/>
      <c r="U8" s="1"/>
      <c r="V8" s="1"/>
      <c r="W8" s="1"/>
      <c r="X8" s="1"/>
      <c r="Y8" s="1"/>
      <c r="Z8" s="1"/>
      <c r="AA8" s="48" t="s">
        <v>9</v>
      </c>
      <c r="AB8" s="54">
        <v>3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3.25">
      <c r="A9" s="32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5"/>
      <c r="T9" s="1"/>
      <c r="U9" s="1"/>
      <c r="V9" s="1"/>
      <c r="W9" s="1"/>
      <c r="X9" s="1"/>
      <c r="Y9" s="1"/>
      <c r="Z9" s="1"/>
      <c r="AA9" s="48" t="s">
        <v>10</v>
      </c>
      <c r="AB9" s="54">
        <v>2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>
      <c r="A10" s="41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1"/>
      <c r="U10" s="1"/>
      <c r="V10" s="1"/>
      <c r="W10" s="1"/>
      <c r="X10" s="1"/>
      <c r="Y10" s="1"/>
      <c r="Z10" s="1"/>
      <c r="AA10" s="78" t="s">
        <v>31</v>
      </c>
      <c r="AB10" s="54" t="b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7.75" customHeight="1">
      <c r="A11" s="41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45" t="s">
        <v>19</v>
      </c>
      <c r="N11" s="21">
        <v>270</v>
      </c>
      <c r="O11" s="34"/>
      <c r="P11" s="34"/>
      <c r="Q11" s="34"/>
      <c r="R11" s="34"/>
      <c r="S11" s="35"/>
      <c r="T11" s="1"/>
      <c r="U11" s="1"/>
      <c r="V11" s="1"/>
      <c r="W11" s="1"/>
      <c r="X11" s="1"/>
      <c r="Y11" s="1"/>
      <c r="Z11" s="1"/>
      <c r="AA11" s="78" t="s">
        <v>32</v>
      </c>
      <c r="AB11" s="55" t="b">
        <v>1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7.75" customHeight="1">
      <c r="A12" s="41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45" t="s">
        <v>20</v>
      </c>
      <c r="N12" s="22">
        <v>0</v>
      </c>
      <c r="O12" s="34"/>
      <c r="P12" s="34"/>
      <c r="Q12" s="34"/>
      <c r="R12" s="34"/>
      <c r="S12" s="35"/>
      <c r="T12" s="1"/>
      <c r="U12" s="1"/>
      <c r="V12" s="1"/>
      <c r="W12" s="1"/>
      <c r="X12" s="1"/>
      <c r="Y12" s="1"/>
      <c r="Z12" s="1"/>
      <c r="AA12" s="5" t="s">
        <v>0</v>
      </c>
      <c r="AB12" s="6" t="s">
        <v>4</v>
      </c>
      <c r="AC12" s="5" t="s">
        <v>5</v>
      </c>
      <c r="AD12" s="1"/>
      <c r="AE12" s="1"/>
      <c r="AF12" s="14"/>
      <c r="AG12" s="1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7.75" customHeight="1">
      <c r="A13" s="41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45" t="s">
        <v>21</v>
      </c>
      <c r="N13" s="23">
        <v>0</v>
      </c>
      <c r="O13" s="34"/>
      <c r="P13" s="34"/>
      <c r="Q13" s="34"/>
      <c r="R13" s="34"/>
      <c r="S13" s="35"/>
      <c r="T13" s="1"/>
      <c r="U13" s="1"/>
      <c r="V13" s="1"/>
      <c r="W13" s="1"/>
      <c r="X13" s="1"/>
      <c r="Y13" s="1"/>
      <c r="Z13" s="1"/>
      <c r="AA13" s="3">
        <v>1</v>
      </c>
      <c r="AB13" s="4">
        <v>60</v>
      </c>
      <c r="AC13" s="10">
        <v>31</v>
      </c>
      <c r="AD13" s="1"/>
      <c r="AE13" s="1"/>
      <c r="AF13" s="14"/>
      <c r="AG13" s="1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>
      <c r="A14" s="41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5"/>
      <c r="T14" s="1"/>
      <c r="U14" s="1"/>
      <c r="V14" s="1"/>
      <c r="W14" s="1"/>
      <c r="X14" s="1"/>
      <c r="Y14" s="1"/>
      <c r="Z14" s="1"/>
      <c r="AA14" s="3">
        <v>2</v>
      </c>
      <c r="AB14" s="4">
        <f t="shared" ref="AB14:AB28" si="0">$AB$13*($AC$13/AC14)^2</f>
        <v>52.947658402203864</v>
      </c>
      <c r="AC14" s="11">
        <v>33</v>
      </c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>
      <c r="A15" s="41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5"/>
      <c r="T15" s="1"/>
      <c r="U15" s="1"/>
      <c r="V15" s="1"/>
      <c r="W15" s="1"/>
      <c r="X15" s="1"/>
      <c r="Y15" s="1"/>
      <c r="Z15" s="1"/>
      <c r="AA15" s="3">
        <v>3</v>
      </c>
      <c r="AB15" s="4">
        <f t="shared" si="0"/>
        <v>47.069387755102042</v>
      </c>
      <c r="AC15" s="3">
        <f t="shared" ref="AC15:AC28" si="1">+AC14+($AC$14-$AC$13)</f>
        <v>35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>
      <c r="A16" s="41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5"/>
      <c r="T16" s="1"/>
      <c r="U16" s="1"/>
      <c r="V16" s="1"/>
      <c r="W16" s="1"/>
      <c r="X16" s="1"/>
      <c r="Y16" s="1"/>
      <c r="Z16" s="1"/>
      <c r="AA16" s="3">
        <v>4</v>
      </c>
      <c r="AB16" s="4">
        <f t="shared" si="0"/>
        <v>42.118334550766981</v>
      </c>
      <c r="AC16" s="3">
        <f t="shared" si="1"/>
        <v>37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>
      <c r="A17" s="41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  <c r="T17" s="1"/>
      <c r="U17" s="1"/>
      <c r="V17" s="1"/>
      <c r="W17" s="1"/>
      <c r="X17" s="1"/>
      <c r="Y17" s="1"/>
      <c r="Z17" s="1"/>
      <c r="AA17" s="3">
        <v>5</v>
      </c>
      <c r="AB17" s="4">
        <f t="shared" si="0"/>
        <v>37.909270216962518</v>
      </c>
      <c r="AC17" s="3">
        <f t="shared" si="1"/>
        <v>39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>
      <c r="A18" s="41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5"/>
      <c r="T18" s="1"/>
      <c r="U18" s="1"/>
      <c r="V18" s="1"/>
      <c r="W18" s="1"/>
      <c r="X18" s="1"/>
      <c r="Y18" s="1"/>
      <c r="Z18" s="1"/>
      <c r="AA18" s="3">
        <v>6</v>
      </c>
      <c r="AB18" s="4">
        <f t="shared" si="0"/>
        <v>34.301011302795956</v>
      </c>
      <c r="AC18" s="3">
        <f t="shared" si="1"/>
        <v>41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>
      <c r="A19" s="41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5"/>
      <c r="T19" s="1"/>
      <c r="U19" s="1"/>
      <c r="V19" s="1"/>
      <c r="W19" s="1"/>
      <c r="X19" s="1"/>
      <c r="Y19" s="1"/>
      <c r="Z19" s="1"/>
      <c r="AA19" s="3">
        <v>7</v>
      </c>
      <c r="AB19" s="4">
        <f t="shared" si="0"/>
        <v>31.184424012979981</v>
      </c>
      <c r="AC19" s="3">
        <f t="shared" si="1"/>
        <v>43</v>
      </c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>
      <c r="A20" s="41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5"/>
      <c r="T20" s="1"/>
      <c r="U20" s="1"/>
      <c r="V20" s="1"/>
      <c r="W20" s="1"/>
      <c r="X20" s="1"/>
      <c r="Y20" s="1"/>
      <c r="Z20" s="1"/>
      <c r="AA20" s="3">
        <v>8</v>
      </c>
      <c r="AB20" s="4">
        <f t="shared" si="0"/>
        <v>28.474074074074071</v>
      </c>
      <c r="AC20" s="3">
        <f t="shared" si="1"/>
        <v>45</v>
      </c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>
      <c r="A21" s="41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5"/>
      <c r="T21" s="1"/>
      <c r="U21" s="1"/>
      <c r="V21" s="1"/>
      <c r="W21" s="1"/>
      <c r="X21" s="1"/>
      <c r="Y21" s="1"/>
      <c r="Z21" s="1"/>
      <c r="AA21" s="3">
        <v>9</v>
      </c>
      <c r="AB21" s="4">
        <f t="shared" si="0"/>
        <v>26.102308736985059</v>
      </c>
      <c r="AC21" s="3">
        <f t="shared" si="1"/>
        <v>47</v>
      </c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>
      <c r="A22" s="41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5"/>
      <c r="T22" s="1"/>
      <c r="U22" s="1"/>
      <c r="V22" s="1"/>
      <c r="W22" s="1"/>
      <c r="X22" s="1"/>
      <c r="Y22" s="1"/>
      <c r="Z22" s="1"/>
      <c r="AA22" s="25">
        <v>10</v>
      </c>
      <c r="AB22" s="26">
        <f t="shared" si="0"/>
        <v>24.014993752603083</v>
      </c>
      <c r="AC22" s="25">
        <f t="shared" si="1"/>
        <v>49</v>
      </c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>
      <c r="A23" s="41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5"/>
      <c r="T23" s="1"/>
      <c r="U23" s="1"/>
      <c r="V23" s="1"/>
      <c r="W23" s="1"/>
      <c r="X23" s="1"/>
      <c r="Y23" s="1"/>
      <c r="Z23" s="1"/>
      <c r="AA23" s="3">
        <v>11</v>
      </c>
      <c r="AB23" s="4">
        <f t="shared" si="0"/>
        <v>22.168396770472889</v>
      </c>
      <c r="AC23" s="3">
        <f t="shared" si="1"/>
        <v>51</v>
      </c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>
      <c r="A24" s="41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5"/>
      <c r="T24" s="1"/>
      <c r="U24" s="1"/>
      <c r="V24" s="1"/>
      <c r="W24" s="1"/>
      <c r="X24" s="1"/>
      <c r="Y24" s="1"/>
      <c r="Z24" s="1"/>
      <c r="AA24" s="3">
        <v>12</v>
      </c>
      <c r="AB24" s="4">
        <f t="shared" si="0"/>
        <v>20.526877892488429</v>
      </c>
      <c r="AC24" s="3">
        <f t="shared" si="1"/>
        <v>53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>
      <c r="A25" s="41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5"/>
      <c r="T25" s="1"/>
      <c r="U25" s="1"/>
      <c r="V25" s="1"/>
      <c r="W25" s="1"/>
      <c r="X25" s="1"/>
      <c r="Y25" s="1"/>
      <c r="Z25" s="1"/>
      <c r="AA25" s="3">
        <v>13</v>
      </c>
      <c r="AB25" s="4">
        <f t="shared" si="0"/>
        <v>19.061157024793388</v>
      </c>
      <c r="AC25" s="3">
        <f t="shared" si="1"/>
        <v>55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>
      <c r="A26" s="41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5"/>
      <c r="T26" s="1"/>
      <c r="U26" s="1"/>
      <c r="V26" s="1"/>
      <c r="W26" s="1"/>
      <c r="X26" s="1"/>
      <c r="Y26" s="1"/>
      <c r="Z26" s="1"/>
      <c r="AA26" s="3">
        <v>14</v>
      </c>
      <c r="AB26" s="4">
        <f t="shared" si="0"/>
        <v>17.746999076638968</v>
      </c>
      <c r="AC26" s="3">
        <f t="shared" si="1"/>
        <v>57</v>
      </c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>
      <c r="A27" s="41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5"/>
      <c r="T27" s="1"/>
      <c r="U27" s="1"/>
      <c r="V27" s="1"/>
      <c r="W27" s="1"/>
      <c r="X27" s="1"/>
      <c r="Y27" s="1"/>
      <c r="Z27" s="1"/>
      <c r="AA27" s="3">
        <v>15</v>
      </c>
      <c r="AB27" s="4">
        <f t="shared" si="0"/>
        <v>16.564205688020685</v>
      </c>
      <c r="AC27" s="3">
        <f t="shared" si="1"/>
        <v>59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s="27" customFormat="1" ht="14.25" customHeight="1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47"/>
      <c r="S28" s="49"/>
      <c r="T28" s="24"/>
      <c r="U28" s="24"/>
      <c r="V28" s="24"/>
      <c r="W28" s="24"/>
      <c r="X28" s="24"/>
      <c r="Y28" s="24"/>
      <c r="Z28" s="24"/>
      <c r="AA28" s="3">
        <v>16</v>
      </c>
      <c r="AB28" s="4">
        <f t="shared" si="0"/>
        <v>15.495834453104004</v>
      </c>
      <c r="AC28" s="3">
        <f t="shared" si="1"/>
        <v>61</v>
      </c>
      <c r="AD28" s="1"/>
      <c r="AE28" s="24"/>
      <c r="AF28" s="24"/>
      <c r="AG28" s="24"/>
      <c r="AH28" s="24"/>
      <c r="AI28" s="24"/>
      <c r="AJ28" s="24"/>
      <c r="AK28" s="24"/>
      <c r="AL28" s="1"/>
      <c r="AM28" s="1"/>
      <c r="AN28" s="1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>
      <c r="A29" s="41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5"/>
      <c r="T29" s="1"/>
      <c r="U29" s="1"/>
      <c r="V29" s="1"/>
      <c r="W29" s="1"/>
      <c r="X29" s="1"/>
      <c r="Y29" s="1"/>
      <c r="Z29" s="1"/>
      <c r="AA29" s="24"/>
      <c r="AB29" s="24"/>
      <c r="AC29" s="24"/>
      <c r="AD29" s="24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>
      <c r="A30" s="41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5"/>
      <c r="T30" s="1"/>
      <c r="U30" s="1"/>
      <c r="V30" s="1"/>
      <c r="W30" s="1"/>
      <c r="X30" s="1"/>
      <c r="Y30" s="1"/>
      <c r="Z30" s="1"/>
      <c r="AA30" s="2" t="s">
        <v>30</v>
      </c>
      <c r="AB30" s="58">
        <v>50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>
      <c r="A31" s="41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5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>
      <c r="A32" s="41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5"/>
      <c r="T32" s="1"/>
      <c r="U32" s="1"/>
      <c r="V32" s="1"/>
      <c r="W32" s="1"/>
      <c r="X32" s="1"/>
      <c r="Y32" s="1"/>
      <c r="Z32" s="1"/>
      <c r="AA32" s="2" t="s">
        <v>25</v>
      </c>
      <c r="AB32" s="59" t="s">
        <v>26</v>
      </c>
      <c r="AC32" s="59" t="s">
        <v>27</v>
      </c>
      <c r="AD32" s="59" t="s">
        <v>28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>
      <c r="A33" s="41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5"/>
      <c r="T33" s="1"/>
      <c r="U33" s="1"/>
      <c r="V33" s="1"/>
      <c r="W33" s="1"/>
      <c r="X33" s="1"/>
      <c r="Y33" s="1"/>
      <c r="Z33" s="1"/>
      <c r="AA33" s="1"/>
      <c r="AB33" s="68">
        <f>-Grid</f>
        <v>-50</v>
      </c>
      <c r="AC33" s="69">
        <v>0</v>
      </c>
      <c r="AD33" s="70">
        <v>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>
      <c r="A34" s="41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5"/>
      <c r="T34" s="1"/>
      <c r="U34" s="1"/>
      <c r="V34" s="1"/>
      <c r="W34" s="1"/>
      <c r="X34" s="1"/>
      <c r="Y34" s="1"/>
      <c r="Z34" s="1"/>
      <c r="AA34" s="1"/>
      <c r="AB34" s="71">
        <f>+Grid</f>
        <v>50</v>
      </c>
      <c r="AC34" s="72">
        <v>0</v>
      </c>
      <c r="AD34" s="73">
        <v>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>
      <c r="A35" s="41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5"/>
      <c r="T35" s="1"/>
      <c r="U35" s="1"/>
      <c r="V35" s="1"/>
      <c r="W35" s="1"/>
      <c r="X35" s="1"/>
      <c r="Y35" s="1"/>
      <c r="Z35" s="1"/>
      <c r="AA35" s="1"/>
      <c r="AB35" s="71"/>
      <c r="AC35" s="72"/>
      <c r="AD35" s="73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>
      <c r="A36" s="41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5"/>
      <c r="T36" s="1"/>
      <c r="U36" s="1"/>
      <c r="V36" s="1"/>
      <c r="W36" s="1"/>
      <c r="X36" s="1"/>
      <c r="Y36" s="1"/>
      <c r="Z36" s="1"/>
      <c r="AA36" s="1"/>
      <c r="AB36" s="71">
        <v>0</v>
      </c>
      <c r="AC36" s="72">
        <f>-Grid</f>
        <v>-50</v>
      </c>
      <c r="AD36" s="73">
        <v>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>
      <c r="A37" s="41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5"/>
      <c r="T37" s="1"/>
      <c r="U37" s="1"/>
      <c r="V37" s="1"/>
      <c r="W37" s="1"/>
      <c r="X37" s="1"/>
      <c r="Y37" s="1"/>
      <c r="Z37" s="1"/>
      <c r="AA37" s="1"/>
      <c r="AB37" s="71">
        <v>0</v>
      </c>
      <c r="AC37" s="72">
        <f>+Grid</f>
        <v>50</v>
      </c>
      <c r="AD37" s="73">
        <v>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>
      <c r="A38" s="41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5"/>
      <c r="T38" s="1"/>
      <c r="U38" s="1"/>
      <c r="V38" s="1"/>
      <c r="W38" s="1"/>
      <c r="X38" s="1"/>
      <c r="Y38" s="1"/>
      <c r="Z38" s="1"/>
      <c r="AA38" s="1"/>
      <c r="AB38" s="71"/>
      <c r="AC38" s="72"/>
      <c r="AD38" s="73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>
      <c r="A39" s="41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5"/>
      <c r="T39" s="1"/>
      <c r="U39" s="1"/>
      <c r="V39" s="1"/>
      <c r="W39" s="1"/>
      <c r="X39" s="1"/>
      <c r="Y39" s="1"/>
      <c r="Z39" s="1"/>
      <c r="AA39" s="1"/>
      <c r="AB39" s="71">
        <v>0</v>
      </c>
      <c r="AC39" s="72">
        <v>0</v>
      </c>
      <c r="AD39" s="73">
        <f>-Grid</f>
        <v>-50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>
      <c r="A40" s="41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5"/>
      <c r="T40" s="1"/>
      <c r="U40" s="1"/>
      <c r="V40" s="1"/>
      <c r="W40" s="1"/>
      <c r="X40" s="1"/>
      <c r="Y40" s="1"/>
      <c r="Z40" s="1"/>
      <c r="AA40" s="1"/>
      <c r="AB40" s="74">
        <v>0</v>
      </c>
      <c r="AC40" s="75">
        <v>0</v>
      </c>
      <c r="AD40" s="76">
        <f>+Grid</f>
        <v>50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>
      <c r="A41" s="41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5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2" thickBot="1">
      <c r="A42" s="50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2"/>
      <c r="T42" s="1"/>
      <c r="U42" s="1"/>
      <c r="V42" s="1"/>
      <c r="W42" s="1"/>
      <c r="X42" s="1"/>
      <c r="Y42" s="1"/>
      <c r="Z42" s="1"/>
      <c r="AA42" s="1"/>
      <c r="AB42" s="60">
        <f t="shared" ref="AB42:AB49" si="2">(AB33*RM_X1)+(AC33*RM_Y1)+(AD33*RM_Z1)</f>
        <v>-50</v>
      </c>
      <c r="AC42" s="61">
        <f t="shared" ref="AC42:AC49" si="3">(AB33*RM_X2)+(AC33*RM_Y2)+(AD33*RM_Z2)</f>
        <v>0</v>
      </c>
      <c r="AD42" s="34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2" thickTop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62">
        <f t="shared" si="2"/>
        <v>50</v>
      </c>
      <c r="AC43" s="63">
        <f t="shared" si="3"/>
        <v>0</v>
      </c>
      <c r="AD43" s="34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62">
        <f t="shared" si="2"/>
        <v>0</v>
      </c>
      <c r="AC44" s="63">
        <f t="shared" si="3"/>
        <v>0</v>
      </c>
      <c r="AD44" s="34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62">
        <f t="shared" si="2"/>
        <v>0</v>
      </c>
      <c r="AC45" s="63">
        <f t="shared" si="3"/>
        <v>9.1886134118146501E-15</v>
      </c>
      <c r="AD45" s="34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62">
        <f t="shared" si="2"/>
        <v>0</v>
      </c>
      <c r="AC46" s="63">
        <f t="shared" si="3"/>
        <v>-9.1886134118146501E-15</v>
      </c>
      <c r="AD46" s="34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62">
        <f t="shared" si="2"/>
        <v>0</v>
      </c>
      <c r="AC47" s="63">
        <f t="shared" si="3"/>
        <v>0</v>
      </c>
      <c r="AD47" s="34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62">
        <f t="shared" si="2"/>
        <v>0</v>
      </c>
      <c r="AC48" s="63">
        <f t="shared" si="3"/>
        <v>-50</v>
      </c>
      <c r="AD48" s="34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64">
        <f t="shared" si="2"/>
        <v>0</v>
      </c>
      <c r="AC49" s="66">
        <f t="shared" si="3"/>
        <v>50</v>
      </c>
      <c r="AD49" s="34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67" t="s">
        <v>29</v>
      </c>
      <c r="AB51" s="56" t="s">
        <v>26</v>
      </c>
      <c r="AC51" s="56" t="s">
        <v>27</v>
      </c>
      <c r="AD51" s="56" t="s">
        <v>28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34"/>
      <c r="AB52" s="68">
        <v>0</v>
      </c>
      <c r="AC52" s="69">
        <v>0</v>
      </c>
      <c r="AD52" s="70">
        <v>-90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34"/>
      <c r="AB53" s="71">
        <v>-40</v>
      </c>
      <c r="AC53" s="72">
        <v>-80</v>
      </c>
      <c r="AD53" s="73">
        <f>+AD52</f>
        <v>-90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34"/>
      <c r="AB54" s="71">
        <v>40</v>
      </c>
      <c r="AC54" s="72">
        <v>-80</v>
      </c>
      <c r="AD54" s="73">
        <f>+AD53</f>
        <v>-90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34"/>
      <c r="AB55" s="71">
        <v>0</v>
      </c>
      <c r="AC55" s="72">
        <v>0</v>
      </c>
      <c r="AD55" s="73">
        <f>+AD54</f>
        <v>-90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>
      <c r="A56" s="1"/>
      <c r="B56" s="1"/>
      <c r="C56" s="1"/>
      <c r="D56" s="1"/>
      <c r="E56" s="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34"/>
      <c r="AB56" s="71"/>
      <c r="AC56" s="72"/>
      <c r="AD56" s="73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34"/>
      <c r="AB57" s="71">
        <v>0</v>
      </c>
      <c r="AC57" s="72">
        <v>0</v>
      </c>
      <c r="AD57" s="73">
        <v>80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34"/>
      <c r="AB58" s="71">
        <v>-40</v>
      </c>
      <c r="AC58" s="72">
        <v>-80</v>
      </c>
      <c r="AD58" s="73">
        <f>+AD57</f>
        <v>80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34"/>
      <c r="AB59" s="71">
        <v>40</v>
      </c>
      <c r="AC59" s="72">
        <v>-80</v>
      </c>
      <c r="AD59" s="73">
        <f>+AD58</f>
        <v>80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34"/>
      <c r="AB60" s="71">
        <v>0</v>
      </c>
      <c r="AC60" s="72">
        <v>0</v>
      </c>
      <c r="AD60" s="73">
        <f>+AD59</f>
        <v>80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34"/>
      <c r="AB61" s="71"/>
      <c r="AC61" s="72"/>
      <c r="AD61" s="73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71">
        <v>0</v>
      </c>
      <c r="AC62" s="72">
        <v>0</v>
      </c>
      <c r="AD62" s="73">
        <v>-90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1">
        <v>0</v>
      </c>
      <c r="AC63" s="72">
        <v>0</v>
      </c>
      <c r="AD63" s="73">
        <v>80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71">
        <v>-40</v>
      </c>
      <c r="AC64" s="72">
        <v>-80</v>
      </c>
      <c r="AD64" s="73">
        <v>80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71">
        <v>-40</v>
      </c>
      <c r="AC65" s="72">
        <v>-80</v>
      </c>
      <c r="AD65" s="73">
        <v>-90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71">
        <v>40</v>
      </c>
      <c r="AC66" s="72">
        <v>-80</v>
      </c>
      <c r="AD66" s="73">
        <f>+AD65</f>
        <v>-90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71">
        <v>40</v>
      </c>
      <c r="AC67" s="72">
        <v>-80</v>
      </c>
      <c r="AD67" s="73">
        <v>80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62"/>
      <c r="AC68" s="34"/>
      <c r="AD68" s="63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62"/>
      <c r="AC69" s="34"/>
      <c r="AD69" s="63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64"/>
      <c r="AC70" s="65"/>
      <c r="AD70" s="66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60">
        <f t="shared" ref="AB72:AB90" si="4">(AB52*RM_X1)+(AC52*RM_Y1)+(AD52*RM_Z1)</f>
        <v>0</v>
      </c>
      <c r="AC72" s="61">
        <f t="shared" ref="AC72:AC90" si="5">(AB52*RM_X2)+(AC52*RM_Y2)+(AD52*RM_Z2)</f>
        <v>-90</v>
      </c>
      <c r="AD72" s="34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62">
        <f t="shared" si="4"/>
        <v>-40</v>
      </c>
      <c r="AC73" s="63">
        <f t="shared" si="5"/>
        <v>-89.999999999999986</v>
      </c>
      <c r="AD73" s="34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62">
        <f t="shared" si="4"/>
        <v>40</v>
      </c>
      <c r="AC74" s="63">
        <f t="shared" si="5"/>
        <v>-89.999999999999986</v>
      </c>
      <c r="AD74" s="34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62">
        <f t="shared" si="4"/>
        <v>0</v>
      </c>
      <c r="AC75" s="63">
        <f t="shared" si="5"/>
        <v>-90</v>
      </c>
      <c r="AD75" s="34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62">
        <f t="shared" si="4"/>
        <v>0</v>
      </c>
      <c r="AC76" s="63">
        <f t="shared" si="5"/>
        <v>0</v>
      </c>
      <c r="AD76" s="34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62">
        <f t="shared" si="4"/>
        <v>0</v>
      </c>
      <c r="AC77" s="63">
        <f t="shared" si="5"/>
        <v>80</v>
      </c>
      <c r="AD77" s="34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62">
        <f t="shared" si="4"/>
        <v>-40</v>
      </c>
      <c r="AC78" s="63">
        <f t="shared" si="5"/>
        <v>80.000000000000014</v>
      </c>
      <c r="AD78" s="34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62">
        <f t="shared" si="4"/>
        <v>40</v>
      </c>
      <c r="AC79" s="63">
        <f t="shared" si="5"/>
        <v>80.000000000000014</v>
      </c>
      <c r="AD79" s="34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62">
        <f t="shared" si="4"/>
        <v>0</v>
      </c>
      <c r="AC80" s="63">
        <f t="shared" si="5"/>
        <v>80</v>
      </c>
      <c r="AD80" s="34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62">
        <f t="shared" si="4"/>
        <v>0</v>
      </c>
      <c r="AC81" s="63">
        <f t="shared" si="5"/>
        <v>0</v>
      </c>
      <c r="AD81" s="34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62">
        <f t="shared" si="4"/>
        <v>0</v>
      </c>
      <c r="AC82" s="63">
        <f t="shared" si="5"/>
        <v>-90</v>
      </c>
      <c r="AD82" s="34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62">
        <f t="shared" si="4"/>
        <v>0</v>
      </c>
      <c r="AC83" s="63">
        <f t="shared" si="5"/>
        <v>80</v>
      </c>
      <c r="AD83" s="34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62">
        <f t="shared" si="4"/>
        <v>-40</v>
      </c>
      <c r="AC84" s="63">
        <f t="shared" si="5"/>
        <v>80.000000000000014</v>
      </c>
      <c r="AD84" s="34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62">
        <f t="shared" si="4"/>
        <v>-40</v>
      </c>
      <c r="AC85" s="63">
        <f t="shared" si="5"/>
        <v>-89.999999999999986</v>
      </c>
      <c r="AD85" s="34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62">
        <f t="shared" si="4"/>
        <v>40</v>
      </c>
      <c r="AC86" s="63">
        <f t="shared" si="5"/>
        <v>-89.999999999999986</v>
      </c>
      <c r="AD86" s="34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62">
        <f t="shared" si="4"/>
        <v>40</v>
      </c>
      <c r="AC87" s="63">
        <f t="shared" si="5"/>
        <v>80.000000000000014</v>
      </c>
      <c r="AD87" s="34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62">
        <f t="shared" si="4"/>
        <v>0</v>
      </c>
      <c r="AC88" s="63">
        <f t="shared" si="5"/>
        <v>0</v>
      </c>
      <c r="AD88" s="34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62">
        <f t="shared" si="4"/>
        <v>0</v>
      </c>
      <c r="AC89" s="63">
        <f t="shared" si="5"/>
        <v>0</v>
      </c>
      <c r="AD89" s="34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64">
        <f t="shared" si="4"/>
        <v>0</v>
      </c>
      <c r="AC90" s="66">
        <f t="shared" si="5"/>
        <v>0</v>
      </c>
      <c r="AD90" s="34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P7" r:id="rId1" xr:uid="{AC7AB783-5E10-44C5-A093-7F76EC2F7866}"/>
    <hyperlink ref="P6" r:id="rId2" display="Newtonexcelbach" xr:uid="{11AB3AD5-16AD-4E25-9342-576FAABF7066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2061" r:id="rId6" name="ScrollBar3">
          <controlPr defaultSize="0" autoLine="0" linkedCell="N13" r:id="rId7">
            <anchor moveWithCells="1" sizeWithCells="1">
              <from>
                <xdr:col>14</xdr:col>
                <xdr:colOff>38100</xdr:colOff>
                <xdr:row>12</xdr:row>
                <xdr:rowOff>9525</xdr:rowOff>
              </from>
              <to>
                <xdr:col>16</xdr:col>
                <xdr:colOff>428625</xdr:colOff>
                <xdr:row>12</xdr:row>
                <xdr:rowOff>342900</xdr:rowOff>
              </to>
            </anchor>
          </controlPr>
        </control>
      </mc:Choice>
      <mc:Fallback>
        <control shapeId="2061" r:id="rId6" name="ScrollBar3"/>
      </mc:Fallback>
    </mc:AlternateContent>
    <mc:AlternateContent xmlns:mc="http://schemas.openxmlformats.org/markup-compatibility/2006">
      <mc:Choice Requires="x14">
        <control shapeId="2060" r:id="rId8" name="ScrollBar2">
          <controlPr defaultSize="0" autoLine="0" linkedCell="N12" r:id="rId7">
            <anchor moveWithCells="1" sizeWithCells="1">
              <from>
                <xdr:col>14</xdr:col>
                <xdr:colOff>28575</xdr:colOff>
                <xdr:row>11</xdr:row>
                <xdr:rowOff>9525</xdr:rowOff>
              </from>
              <to>
                <xdr:col>16</xdr:col>
                <xdr:colOff>419100</xdr:colOff>
                <xdr:row>11</xdr:row>
                <xdr:rowOff>342900</xdr:rowOff>
              </to>
            </anchor>
          </controlPr>
        </control>
      </mc:Choice>
      <mc:Fallback>
        <control shapeId="2060" r:id="rId8" name="ScrollBar2"/>
      </mc:Fallback>
    </mc:AlternateContent>
    <mc:AlternateContent xmlns:mc="http://schemas.openxmlformats.org/markup-compatibility/2006">
      <mc:Choice Requires="x14">
        <control shapeId="2059" r:id="rId9" name="ScrollBar4">
          <controlPr defaultSize="0" autoLine="0" linkedCell="N11" r:id="rId10">
            <anchor moveWithCells="1" sizeWithCells="1">
              <from>
                <xdr:col>14</xdr:col>
                <xdr:colOff>28575</xdr:colOff>
                <xdr:row>10</xdr:row>
                <xdr:rowOff>9525</xdr:rowOff>
              </from>
              <to>
                <xdr:col>16</xdr:col>
                <xdr:colOff>419100</xdr:colOff>
                <xdr:row>10</xdr:row>
                <xdr:rowOff>342900</xdr:rowOff>
              </to>
            </anchor>
          </controlPr>
        </control>
      </mc:Choice>
      <mc:Fallback>
        <control shapeId="2059" r:id="rId9" name="ScrollBar4"/>
      </mc:Fallback>
    </mc:AlternateContent>
    <mc:AlternateContent xmlns:mc="http://schemas.openxmlformats.org/markup-compatibility/2006">
      <mc:Choice Requires="x14">
        <control shapeId="2049" r:id="rId11" name="ScrollBar1">
          <controlPr defaultSize="0" autoFill="0" autoLine="0" linkedCell="AB5" r:id="rId12">
            <anchor moveWithCells="1">
              <from>
                <xdr:col>12</xdr:col>
                <xdr:colOff>28575</xdr:colOff>
                <xdr:row>19</xdr:row>
                <xdr:rowOff>85725</xdr:rowOff>
              </from>
              <to>
                <xdr:col>18</xdr:col>
                <xdr:colOff>200025</xdr:colOff>
                <xdr:row>20</xdr:row>
                <xdr:rowOff>123825</xdr:rowOff>
              </to>
            </anchor>
          </controlPr>
        </control>
      </mc:Choice>
      <mc:Fallback>
        <control shapeId="2049" r:id="rId11" name="ScrollBar1"/>
      </mc:Fallback>
    </mc:AlternateContent>
    <mc:AlternateContent xmlns:mc="http://schemas.openxmlformats.org/markup-compatibility/2006">
      <mc:Choice Requires="x14">
        <control shapeId="2050" r:id="rId13" name="Option Button 2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30</xdr:row>
                <xdr:rowOff>133350</xdr:rowOff>
              </from>
              <to>
                <xdr:col>14</xdr:col>
                <xdr:colOff>104775</xdr:colOff>
                <xdr:row>32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1" r:id="rId14" name="Option Button 3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32</xdr:row>
                <xdr:rowOff>47625</xdr:rowOff>
              </from>
              <to>
                <xdr:col>14</xdr:col>
                <xdr:colOff>104775</xdr:colOff>
                <xdr:row>33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2" r:id="rId15" name="Option Button 4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33</xdr:row>
                <xdr:rowOff>123825</xdr:rowOff>
              </from>
              <to>
                <xdr:col>14</xdr:col>
                <xdr:colOff>104775</xdr:colOff>
                <xdr:row>35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3" r:id="rId16" name="Group Box 5">
          <controlPr defaultSize="0" autoFill="0" autoPict="0">
            <anchor moveWithCells="1" sizeWithCells="1">
              <from>
                <xdr:col>12</xdr:col>
                <xdr:colOff>66675</xdr:colOff>
                <xdr:row>30</xdr:row>
                <xdr:rowOff>38100</xdr:rowOff>
              </from>
              <to>
                <xdr:col>14</xdr:col>
                <xdr:colOff>123825</xdr:colOff>
                <xdr:row>35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4" r:id="rId17" name="Group Box 6">
          <controlPr defaultSize="0" autoFill="0" autoPict="0">
            <anchor moveWithCells="1" sizeWithCells="1">
              <from>
                <xdr:col>12</xdr:col>
                <xdr:colOff>66675</xdr:colOff>
                <xdr:row>24</xdr:row>
                <xdr:rowOff>28575</xdr:rowOff>
              </from>
              <to>
                <xdr:col>14</xdr:col>
                <xdr:colOff>133350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5" r:id="rId18" name="Option Button 7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24</xdr:row>
                <xdr:rowOff>76200</xdr:rowOff>
              </from>
              <to>
                <xdr:col>14</xdr:col>
                <xdr:colOff>123825</xdr:colOff>
                <xdr:row>25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6" r:id="rId19" name="Option Button 8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25</xdr:row>
                <xdr:rowOff>95250</xdr:rowOff>
              </from>
              <to>
                <xdr:col>14</xdr:col>
                <xdr:colOff>123825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7" r:id="rId20" name="Option Button 9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26</xdr:row>
                <xdr:rowOff>114300</xdr:rowOff>
              </from>
              <to>
                <xdr:col>14</xdr:col>
                <xdr:colOff>123825</xdr:colOff>
                <xdr:row>27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58" r:id="rId21" name="Option Button 10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27</xdr:row>
                <xdr:rowOff>133350</xdr:rowOff>
              </from>
              <to>
                <xdr:col>14</xdr:col>
                <xdr:colOff>123825</xdr:colOff>
                <xdr:row>28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2" r:id="rId22" name="Check Box 14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25</xdr:row>
                <xdr:rowOff>47625</xdr:rowOff>
              </from>
              <to>
                <xdr:col>16</xdr:col>
                <xdr:colOff>304800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3" r:id="rId23" name="Check Box 15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27</xdr:row>
                <xdr:rowOff>38100</xdr:rowOff>
              </from>
              <to>
                <xdr:col>16</xdr:col>
                <xdr:colOff>304800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4" r:id="rId24" name="Group Box 16">
          <controlPr defaultSize="0" autoFill="0" autoPict="0">
            <anchor moveWithCells="1" sizeWithCells="1">
              <from>
                <xdr:col>14</xdr:col>
                <xdr:colOff>352425</xdr:colOff>
                <xdr:row>24</xdr:row>
                <xdr:rowOff>28575</xdr:rowOff>
              </from>
              <to>
                <xdr:col>17</xdr:col>
                <xdr:colOff>95250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065" r:id="rId25" name="Check Box 17">
          <controlPr defaultSize="0" autoFill="0" autoLine="0" autoPict="0">
            <anchor moveWithCells="1">
              <from>
                <xdr:col>14</xdr:col>
                <xdr:colOff>438150</xdr:colOff>
                <xdr:row>30</xdr:row>
                <xdr:rowOff>104775</xdr:rowOff>
              </from>
              <to>
                <xdr:col>18</xdr:col>
                <xdr:colOff>228600</xdr:colOff>
                <xdr:row>32</xdr:row>
                <xdr:rowOff>38100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W557"/>
  <sheetViews>
    <sheetView tabSelected="1" zoomScale="85" zoomScaleNormal="85" workbookViewId="0">
      <selection activeCell="W11" sqref="W11"/>
    </sheetView>
  </sheetViews>
  <sheetFormatPr defaultRowHeight="11.25"/>
  <cols>
    <col min="1" max="1" width="10.33203125" customWidth="1"/>
    <col min="2" max="2" width="9" customWidth="1"/>
    <col min="3" max="3" width="13.5" customWidth="1"/>
    <col min="4" max="4" width="9.33203125" customWidth="1"/>
    <col min="8" max="8" width="19" customWidth="1"/>
    <col min="13" max="13" width="12.5" customWidth="1"/>
    <col min="16" max="16" width="9.33203125" customWidth="1"/>
    <col min="22" max="22" width="46.5" customWidth="1"/>
    <col min="27" max="27" width="12.83203125" bestFit="1" customWidth="1"/>
    <col min="43" max="43" width="165.6640625" customWidth="1"/>
  </cols>
  <sheetData>
    <row r="1" spans="1:49" ht="11.25" customHeight="1" thickBot="1">
      <c r="A1" s="9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4" thickTop="1">
      <c r="A2" s="28"/>
      <c r="B2" s="29"/>
      <c r="C2" s="29"/>
      <c r="D2" s="29"/>
      <c r="E2" s="29"/>
      <c r="F2" s="29"/>
      <c r="G2" s="29"/>
      <c r="H2" s="29"/>
      <c r="I2" s="29"/>
      <c r="J2" s="29"/>
      <c r="K2" s="29"/>
      <c r="L2" s="29"/>
      <c r="M2" s="29"/>
      <c r="N2" s="29"/>
      <c r="O2" s="30"/>
      <c r="P2" s="30"/>
      <c r="Q2" s="30"/>
      <c r="R2" s="30"/>
      <c r="S2" s="3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3.25">
      <c r="A3" s="32"/>
      <c r="B3" s="33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5"/>
      <c r="T3" s="1"/>
      <c r="U3" s="1"/>
      <c r="V3" s="1"/>
      <c r="W3" s="1"/>
      <c r="X3" s="1"/>
      <c r="Y3" s="1"/>
      <c r="Z3" s="1"/>
      <c r="AA3" s="48" t="s">
        <v>16</v>
      </c>
      <c r="AB3" s="53">
        <v>0.02</v>
      </c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s="17" customFormat="1" ht="12.75">
      <c r="A4" s="36"/>
      <c r="B4" s="37"/>
      <c r="C4" s="38"/>
      <c r="D4" s="38"/>
      <c r="E4" s="38"/>
      <c r="F4" s="38"/>
      <c r="G4" s="38"/>
      <c r="H4" s="38"/>
      <c r="I4" s="38"/>
      <c r="J4" s="38"/>
      <c r="K4" s="38"/>
      <c r="L4" s="38"/>
      <c r="M4" s="38"/>
      <c r="N4" s="38"/>
      <c r="O4" s="38"/>
      <c r="P4" s="38"/>
      <c r="Q4" s="39"/>
      <c r="R4" s="38"/>
      <c r="S4" s="40"/>
      <c r="T4" s="15"/>
      <c r="U4" s="15"/>
      <c r="V4" s="15"/>
      <c r="W4" s="16"/>
      <c r="X4" s="16"/>
      <c r="Y4" s="16"/>
      <c r="Z4" s="16"/>
      <c r="AA4" s="77" t="s">
        <v>17</v>
      </c>
      <c r="AB4" s="54">
        <v>15</v>
      </c>
      <c r="AC4" s="16"/>
      <c r="AD4" s="16"/>
      <c r="AE4" s="16"/>
      <c r="AF4" s="16"/>
      <c r="AG4" s="1"/>
      <c r="AH4" s="1"/>
      <c r="AI4" s="1"/>
      <c r="AJ4" s="1"/>
      <c r="AK4" s="1"/>
      <c r="AL4" s="1"/>
      <c r="AM4" s="1"/>
      <c r="AN4" s="1"/>
      <c r="AO4" s="16"/>
      <c r="AP4" s="16"/>
      <c r="AQ4" s="16"/>
      <c r="AR4" s="16"/>
      <c r="AS4" s="16"/>
      <c r="AT4" s="16"/>
      <c r="AU4" s="16"/>
      <c r="AV4" s="16"/>
      <c r="AW4" s="16"/>
    </row>
    <row r="5" spans="1:49" ht="21">
      <c r="A5" s="41"/>
      <c r="B5" s="37"/>
      <c r="C5" s="38"/>
      <c r="D5" s="38"/>
      <c r="E5" s="34"/>
      <c r="F5" s="38"/>
      <c r="G5" s="42" t="s">
        <v>6</v>
      </c>
      <c r="H5" s="18">
        <v>5.0000000000000001E-3</v>
      </c>
      <c r="I5" s="43" t="s">
        <v>8</v>
      </c>
      <c r="J5" s="38"/>
      <c r="K5" s="38"/>
      <c r="L5" s="34"/>
      <c r="M5" s="34"/>
      <c r="N5" s="38"/>
      <c r="O5" s="42" t="s">
        <v>12</v>
      </c>
      <c r="P5" s="57" t="s">
        <v>13</v>
      </c>
      <c r="Q5" s="34"/>
      <c r="R5" s="34"/>
      <c r="S5" s="35"/>
      <c r="T5" s="1"/>
      <c r="U5" s="1"/>
      <c r="V5" s="1"/>
      <c r="W5" s="1"/>
      <c r="X5" s="1"/>
      <c r="Y5" s="1"/>
      <c r="Z5" s="1"/>
      <c r="AA5" s="48" t="s">
        <v>1</v>
      </c>
      <c r="AB5" s="54">
        <v>162.5</v>
      </c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>
      <c r="A6" s="41"/>
      <c r="B6" s="37"/>
      <c r="C6" s="38"/>
      <c r="D6" s="38"/>
      <c r="E6" s="34"/>
      <c r="F6" s="38"/>
      <c r="G6" s="42" t="s">
        <v>3</v>
      </c>
      <c r="H6" s="19">
        <v>10</v>
      </c>
      <c r="I6" s="43" t="s">
        <v>2</v>
      </c>
      <c r="J6" s="38"/>
      <c r="K6" s="38"/>
      <c r="L6" s="34"/>
      <c r="M6" s="34"/>
      <c r="N6" s="38"/>
      <c r="O6" s="42" t="s">
        <v>7</v>
      </c>
      <c r="P6" s="44" t="s">
        <v>11</v>
      </c>
      <c r="Q6" s="34"/>
      <c r="R6" s="34"/>
      <c r="S6" s="35"/>
      <c r="T6" s="1"/>
      <c r="U6" s="1"/>
      <c r="V6" s="1"/>
      <c r="W6" s="1"/>
      <c r="X6" s="1"/>
      <c r="Y6" s="1"/>
      <c r="Z6" s="1"/>
      <c r="AA6" s="48" t="s">
        <v>33</v>
      </c>
      <c r="AB6" s="54" t="b">
        <v>0</v>
      </c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3.25">
      <c r="A7" s="41"/>
      <c r="B7" s="37"/>
      <c r="C7" s="38"/>
      <c r="D7" s="38"/>
      <c r="E7" s="34"/>
      <c r="F7" s="38"/>
      <c r="G7" s="42" t="s">
        <v>1</v>
      </c>
      <c r="H7" s="19">
        <f>+AB5</f>
        <v>162.5</v>
      </c>
      <c r="I7" s="43" t="s">
        <v>24</v>
      </c>
      <c r="J7" s="38"/>
      <c r="K7" s="38"/>
      <c r="L7" s="34"/>
      <c r="M7" s="34"/>
      <c r="N7" s="38"/>
      <c r="O7" s="42" t="s">
        <v>22</v>
      </c>
      <c r="P7" s="44" t="s">
        <v>23</v>
      </c>
      <c r="Q7" s="34"/>
      <c r="R7" s="34"/>
      <c r="S7" s="35"/>
      <c r="T7" s="1"/>
      <c r="U7" s="1"/>
      <c r="V7" s="1"/>
      <c r="W7" s="1"/>
      <c r="X7" s="1"/>
      <c r="Y7" s="1"/>
      <c r="Z7" s="1"/>
      <c r="AA7" s="48" t="s">
        <v>18</v>
      </c>
      <c r="AB7" s="54" t="b">
        <v>0</v>
      </c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>
      <c r="A8" s="41"/>
      <c r="B8" s="37"/>
      <c r="C8" s="38"/>
      <c r="D8" s="38"/>
      <c r="E8" s="34"/>
      <c r="F8" s="38"/>
      <c r="G8" s="42" t="s">
        <v>14</v>
      </c>
      <c r="H8" s="20">
        <v>11</v>
      </c>
      <c r="I8" s="43" t="s">
        <v>15</v>
      </c>
      <c r="J8" s="38"/>
      <c r="K8" s="38"/>
      <c r="L8" s="34"/>
      <c r="M8" s="34"/>
      <c r="N8" s="34"/>
      <c r="O8" s="34"/>
      <c r="P8" s="34"/>
      <c r="Q8" s="34"/>
      <c r="R8" s="34"/>
      <c r="S8" s="35"/>
      <c r="T8" s="1"/>
      <c r="U8" s="1"/>
      <c r="V8" s="1"/>
      <c r="W8" s="1"/>
      <c r="X8" s="1"/>
      <c r="Y8" s="1"/>
      <c r="Z8" s="1"/>
      <c r="AA8" s="48" t="s">
        <v>9</v>
      </c>
      <c r="AB8" s="54">
        <v>1</v>
      </c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3.25">
      <c r="A9" s="32"/>
      <c r="B9" s="33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5"/>
      <c r="T9" s="1"/>
      <c r="U9" s="1"/>
      <c r="V9" s="1"/>
      <c r="W9" s="1"/>
      <c r="X9" s="1"/>
      <c r="Y9" s="1"/>
      <c r="Z9" s="1"/>
      <c r="AA9" s="48" t="s">
        <v>10</v>
      </c>
      <c r="AB9" s="54">
        <v>1</v>
      </c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>
      <c r="A10" s="41"/>
      <c r="B10" s="34"/>
      <c r="C10" s="34"/>
      <c r="D10" s="34"/>
      <c r="E10" s="34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5"/>
      <c r="T10" s="1"/>
      <c r="U10" s="1"/>
      <c r="V10" s="1"/>
      <c r="W10" s="1"/>
      <c r="X10" s="1"/>
      <c r="Y10" s="1"/>
      <c r="Z10" s="1"/>
      <c r="AA10" s="78" t="s">
        <v>31</v>
      </c>
      <c r="AB10" s="54" t="b">
        <v>1</v>
      </c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7.75" customHeight="1">
      <c r="A11" s="41"/>
      <c r="B11" s="34"/>
      <c r="C11" s="34"/>
      <c r="D11" s="34"/>
      <c r="E11" s="34"/>
      <c r="F11" s="34"/>
      <c r="G11" s="34"/>
      <c r="H11" s="34"/>
      <c r="I11" s="34"/>
      <c r="J11" s="34"/>
      <c r="K11" s="34"/>
      <c r="L11" s="34"/>
      <c r="M11" s="45" t="s">
        <v>19</v>
      </c>
      <c r="N11" s="21">
        <v>270</v>
      </c>
      <c r="O11" s="34"/>
      <c r="P11" s="34"/>
      <c r="Q11" s="34"/>
      <c r="R11" s="34"/>
      <c r="S11" s="35"/>
      <c r="T11" s="1"/>
      <c r="U11" s="1"/>
      <c r="V11" s="1"/>
      <c r="W11" s="1"/>
      <c r="X11" s="1"/>
      <c r="Y11" s="1"/>
      <c r="Z11" s="1"/>
      <c r="AA11" s="78" t="s">
        <v>32</v>
      </c>
      <c r="AB11" s="55" t="b">
        <v>1</v>
      </c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7.75" customHeight="1">
      <c r="A12" s="41"/>
      <c r="B12" s="34"/>
      <c r="C12" s="34"/>
      <c r="D12" s="34"/>
      <c r="E12" s="34"/>
      <c r="F12" s="34"/>
      <c r="G12" s="34"/>
      <c r="H12" s="34"/>
      <c r="I12" s="34"/>
      <c r="J12" s="34"/>
      <c r="K12" s="34"/>
      <c r="L12" s="34"/>
      <c r="M12" s="45" t="s">
        <v>20</v>
      </c>
      <c r="N12" s="22">
        <v>0</v>
      </c>
      <c r="O12" s="34"/>
      <c r="P12" s="34"/>
      <c r="Q12" s="34"/>
      <c r="R12" s="34"/>
      <c r="S12" s="35"/>
      <c r="T12" s="1"/>
      <c r="U12" s="1"/>
      <c r="V12" s="1"/>
      <c r="W12" s="1"/>
      <c r="X12" s="1"/>
      <c r="Y12" s="1"/>
      <c r="Z12" s="1"/>
      <c r="AA12" s="5" t="s">
        <v>0</v>
      </c>
      <c r="AB12" s="6" t="s">
        <v>4</v>
      </c>
      <c r="AC12" s="5" t="s">
        <v>5</v>
      </c>
      <c r="AD12" s="1"/>
      <c r="AE12" s="1"/>
      <c r="AF12" s="14"/>
      <c r="AG12" s="13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7.75" customHeight="1">
      <c r="A13" s="41"/>
      <c r="B13" s="34"/>
      <c r="C13" s="34"/>
      <c r="D13" s="34"/>
      <c r="E13" s="34"/>
      <c r="F13" s="34"/>
      <c r="G13" s="34"/>
      <c r="H13" s="34"/>
      <c r="I13" s="34"/>
      <c r="J13" s="34"/>
      <c r="K13" s="34"/>
      <c r="L13" s="34"/>
      <c r="M13" s="45" t="s">
        <v>21</v>
      </c>
      <c r="N13" s="23">
        <v>0</v>
      </c>
      <c r="O13" s="34"/>
      <c r="P13" s="34"/>
      <c r="Q13" s="34"/>
      <c r="R13" s="34"/>
      <c r="S13" s="35"/>
      <c r="T13" s="1"/>
      <c r="U13" s="1"/>
      <c r="V13" s="1"/>
      <c r="W13" s="1"/>
      <c r="X13" s="1"/>
      <c r="Y13" s="1"/>
      <c r="Z13" s="1"/>
      <c r="AA13" s="3">
        <v>1</v>
      </c>
      <c r="AB13" s="4">
        <v>60</v>
      </c>
      <c r="AC13" s="10">
        <v>31</v>
      </c>
      <c r="AD13" s="1"/>
      <c r="AE13" s="1"/>
      <c r="AF13" s="14"/>
      <c r="AG13" s="13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>
      <c r="A14" s="41"/>
      <c r="B14" s="34"/>
      <c r="C14" s="34"/>
      <c r="D14" s="34"/>
      <c r="E14" s="34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5"/>
      <c r="T14" s="1"/>
      <c r="U14" s="1"/>
      <c r="V14" s="1"/>
      <c r="W14" s="1"/>
      <c r="X14" s="1"/>
      <c r="Y14" s="1"/>
      <c r="Z14" s="1"/>
      <c r="AA14" s="3">
        <v>2</v>
      </c>
      <c r="AB14" s="4">
        <f t="shared" ref="AB14:AB28" si="0">$AB$13*($AC$13/AC14)^2</f>
        <v>52.947658402203864</v>
      </c>
      <c r="AC14" s="11">
        <v>33</v>
      </c>
      <c r="AD14" s="1"/>
      <c r="AE14" s="1"/>
      <c r="AF14" s="2"/>
      <c r="AG14" s="7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>
      <c r="A15" s="41"/>
      <c r="B15" s="34"/>
      <c r="C15" s="34"/>
      <c r="D15" s="34"/>
      <c r="E15" s="34"/>
      <c r="F15" s="34"/>
      <c r="G15" s="34"/>
      <c r="H15" s="34"/>
      <c r="I15" s="34"/>
      <c r="J15" s="34"/>
      <c r="K15" s="34"/>
      <c r="L15" s="34"/>
      <c r="M15" s="34"/>
      <c r="N15" s="34"/>
      <c r="O15" s="34"/>
      <c r="P15" s="34"/>
      <c r="Q15" s="34"/>
      <c r="R15" s="34"/>
      <c r="S15" s="35"/>
      <c r="T15" s="1"/>
      <c r="U15" s="1"/>
      <c r="V15" s="1"/>
      <c r="W15" s="1"/>
      <c r="X15" s="1"/>
      <c r="Y15" s="1"/>
      <c r="Z15" s="1"/>
      <c r="AA15" s="3">
        <v>3</v>
      </c>
      <c r="AB15" s="4">
        <f t="shared" si="0"/>
        <v>47.069387755102042</v>
      </c>
      <c r="AC15" s="3">
        <f t="shared" ref="AC15:AC28" si="1">+AC14+($AC$14-$AC$13)</f>
        <v>35</v>
      </c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>
      <c r="A16" s="41"/>
      <c r="B16" s="34"/>
      <c r="C16" s="34"/>
      <c r="D16" s="34"/>
      <c r="E16" s="34"/>
      <c r="F16" s="34"/>
      <c r="G16" s="34"/>
      <c r="H16" s="34"/>
      <c r="I16" s="34"/>
      <c r="J16" s="34"/>
      <c r="K16" s="34"/>
      <c r="L16" s="34"/>
      <c r="M16" s="34"/>
      <c r="N16" s="34"/>
      <c r="O16" s="34"/>
      <c r="P16" s="34"/>
      <c r="Q16" s="34"/>
      <c r="R16" s="34"/>
      <c r="S16" s="35"/>
      <c r="T16" s="1"/>
      <c r="U16" s="1"/>
      <c r="V16" s="1"/>
      <c r="W16" s="1"/>
      <c r="X16" s="1"/>
      <c r="Y16" s="1"/>
      <c r="Z16" s="1"/>
      <c r="AA16" s="3">
        <v>4</v>
      </c>
      <c r="AB16" s="4">
        <f t="shared" si="0"/>
        <v>42.118334550766981</v>
      </c>
      <c r="AC16" s="3">
        <f t="shared" si="1"/>
        <v>37</v>
      </c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>
      <c r="A17" s="41"/>
      <c r="B17" s="34"/>
      <c r="C17" s="34"/>
      <c r="D17" s="34"/>
      <c r="E17" s="3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5"/>
      <c r="T17" s="1"/>
      <c r="U17" s="1"/>
      <c r="V17" s="1"/>
      <c r="W17" s="1"/>
      <c r="X17" s="1"/>
      <c r="Y17" s="1"/>
      <c r="Z17" s="1"/>
      <c r="AA17" s="3">
        <v>5</v>
      </c>
      <c r="AB17" s="4">
        <f t="shared" si="0"/>
        <v>37.909270216962518</v>
      </c>
      <c r="AC17" s="3">
        <f t="shared" si="1"/>
        <v>39</v>
      </c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>
      <c r="A18" s="41"/>
      <c r="B18" s="34"/>
      <c r="C18" s="34"/>
      <c r="D18" s="34"/>
      <c r="E18" s="34"/>
      <c r="F18" s="34"/>
      <c r="G18" s="34"/>
      <c r="H18" s="34"/>
      <c r="I18" s="34"/>
      <c r="J18" s="34"/>
      <c r="K18" s="34"/>
      <c r="L18" s="34"/>
      <c r="M18" s="34"/>
      <c r="N18" s="34"/>
      <c r="O18" s="34"/>
      <c r="P18" s="34"/>
      <c r="Q18" s="34"/>
      <c r="R18" s="34"/>
      <c r="S18" s="35"/>
      <c r="T18" s="1"/>
      <c r="U18" s="1"/>
      <c r="V18" s="1"/>
      <c r="W18" s="1"/>
      <c r="X18" s="1"/>
      <c r="Y18" s="1"/>
      <c r="Z18" s="1"/>
      <c r="AA18" s="3">
        <v>6</v>
      </c>
      <c r="AB18" s="4">
        <f t="shared" si="0"/>
        <v>34.301011302795956</v>
      </c>
      <c r="AC18" s="3">
        <f t="shared" si="1"/>
        <v>41</v>
      </c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>
      <c r="A19" s="41"/>
      <c r="B19" s="34"/>
      <c r="C19" s="34"/>
      <c r="D19" s="34"/>
      <c r="E19" s="34"/>
      <c r="F19" s="34"/>
      <c r="G19" s="34"/>
      <c r="H19" s="34"/>
      <c r="I19" s="34"/>
      <c r="J19" s="34"/>
      <c r="K19" s="34"/>
      <c r="L19" s="34"/>
      <c r="M19" s="34"/>
      <c r="N19" s="34"/>
      <c r="O19" s="34"/>
      <c r="P19" s="34"/>
      <c r="Q19" s="34"/>
      <c r="R19" s="34"/>
      <c r="S19" s="35"/>
      <c r="T19" s="1"/>
      <c r="U19" s="1"/>
      <c r="V19" s="1"/>
      <c r="W19" s="1"/>
      <c r="X19" s="1"/>
      <c r="Y19" s="1"/>
      <c r="Z19" s="1"/>
      <c r="AA19" s="3">
        <v>7</v>
      </c>
      <c r="AB19" s="4">
        <f t="shared" si="0"/>
        <v>31.184424012979981</v>
      </c>
      <c r="AC19" s="3">
        <f t="shared" si="1"/>
        <v>43</v>
      </c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>
      <c r="A20" s="41"/>
      <c r="B20" s="34"/>
      <c r="C20" s="34"/>
      <c r="D20" s="34"/>
      <c r="E20" s="34"/>
      <c r="F20" s="34"/>
      <c r="G20" s="34"/>
      <c r="H20" s="34"/>
      <c r="I20" s="34"/>
      <c r="J20" s="34"/>
      <c r="K20" s="34"/>
      <c r="L20" s="34"/>
      <c r="M20" s="34"/>
      <c r="N20" s="34"/>
      <c r="O20" s="34"/>
      <c r="P20" s="34"/>
      <c r="Q20" s="34"/>
      <c r="R20" s="34"/>
      <c r="S20" s="35"/>
      <c r="T20" s="1"/>
      <c r="U20" s="1"/>
      <c r="V20" s="1"/>
      <c r="W20" s="1"/>
      <c r="X20" s="1"/>
      <c r="Y20" s="1"/>
      <c r="Z20" s="1"/>
      <c r="AA20" s="3">
        <v>8</v>
      </c>
      <c r="AB20" s="4">
        <f t="shared" si="0"/>
        <v>28.474074074074071</v>
      </c>
      <c r="AC20" s="3">
        <f t="shared" si="1"/>
        <v>45</v>
      </c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>
      <c r="A21" s="41"/>
      <c r="B21" s="34"/>
      <c r="C21" s="34"/>
      <c r="D21" s="34"/>
      <c r="E21" s="34"/>
      <c r="F21" s="34"/>
      <c r="G21" s="34"/>
      <c r="H21" s="34"/>
      <c r="I21" s="34"/>
      <c r="J21" s="34"/>
      <c r="K21" s="34"/>
      <c r="L21" s="34"/>
      <c r="M21" s="34"/>
      <c r="N21" s="34"/>
      <c r="O21" s="34"/>
      <c r="P21" s="34"/>
      <c r="Q21" s="34"/>
      <c r="R21" s="34"/>
      <c r="S21" s="35"/>
      <c r="T21" s="1"/>
      <c r="U21" s="1"/>
      <c r="V21" s="1"/>
      <c r="W21" s="1"/>
      <c r="X21" s="1"/>
      <c r="Y21" s="1"/>
      <c r="Z21" s="1"/>
      <c r="AA21" s="3">
        <v>9</v>
      </c>
      <c r="AB21" s="4">
        <f t="shared" si="0"/>
        <v>26.102308736985059</v>
      </c>
      <c r="AC21" s="3">
        <f t="shared" si="1"/>
        <v>47</v>
      </c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>
      <c r="A22" s="41"/>
      <c r="B22" s="34"/>
      <c r="C22" s="34"/>
      <c r="D22" s="34"/>
      <c r="E22" s="34"/>
      <c r="F22" s="34"/>
      <c r="G22" s="34"/>
      <c r="H22" s="34"/>
      <c r="I22" s="34"/>
      <c r="J22" s="34"/>
      <c r="K22" s="34"/>
      <c r="L22" s="34"/>
      <c r="M22" s="34"/>
      <c r="N22" s="34"/>
      <c r="O22" s="34"/>
      <c r="P22" s="34"/>
      <c r="Q22" s="34"/>
      <c r="R22" s="34"/>
      <c r="S22" s="35"/>
      <c r="T22" s="1"/>
      <c r="U22" s="1"/>
      <c r="V22" s="1"/>
      <c r="W22" s="1"/>
      <c r="X22" s="1"/>
      <c r="Y22" s="1"/>
      <c r="Z22" s="1"/>
      <c r="AA22" s="25">
        <v>10</v>
      </c>
      <c r="AB22" s="26">
        <f t="shared" si="0"/>
        <v>24.014993752603083</v>
      </c>
      <c r="AC22" s="25">
        <f t="shared" si="1"/>
        <v>49</v>
      </c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>
      <c r="A23" s="41"/>
      <c r="B23" s="34"/>
      <c r="C23" s="34"/>
      <c r="D23" s="34"/>
      <c r="E23" s="34"/>
      <c r="F23" s="34"/>
      <c r="G23" s="34"/>
      <c r="H23" s="34"/>
      <c r="I23" s="34"/>
      <c r="J23" s="34"/>
      <c r="K23" s="34"/>
      <c r="L23" s="34"/>
      <c r="M23" s="34"/>
      <c r="N23" s="34"/>
      <c r="O23" s="34"/>
      <c r="P23" s="34"/>
      <c r="Q23" s="34"/>
      <c r="R23" s="34"/>
      <c r="S23" s="35"/>
      <c r="T23" s="1"/>
      <c r="U23" s="1"/>
      <c r="V23" s="1"/>
      <c r="W23" s="1"/>
      <c r="X23" s="1"/>
      <c r="Y23" s="1"/>
      <c r="Z23" s="1"/>
      <c r="AA23" s="3">
        <v>11</v>
      </c>
      <c r="AB23" s="4">
        <f t="shared" si="0"/>
        <v>22.168396770472889</v>
      </c>
      <c r="AC23" s="3">
        <f t="shared" si="1"/>
        <v>51</v>
      </c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>
      <c r="A24" s="41"/>
      <c r="B24" s="34"/>
      <c r="C24" s="34"/>
      <c r="D24" s="34"/>
      <c r="E24" s="34"/>
      <c r="F24" s="34"/>
      <c r="G24" s="34"/>
      <c r="H24" s="34"/>
      <c r="I24" s="34"/>
      <c r="J24" s="34"/>
      <c r="K24" s="34"/>
      <c r="L24" s="34"/>
      <c r="M24" s="34"/>
      <c r="N24" s="34"/>
      <c r="O24" s="34"/>
      <c r="P24" s="34"/>
      <c r="Q24" s="34"/>
      <c r="R24" s="34"/>
      <c r="S24" s="35"/>
      <c r="T24" s="1"/>
      <c r="U24" s="1"/>
      <c r="V24" s="1"/>
      <c r="W24" s="1"/>
      <c r="X24" s="1"/>
      <c r="Y24" s="1"/>
      <c r="Z24" s="1"/>
      <c r="AA24" s="3">
        <v>12</v>
      </c>
      <c r="AB24" s="4">
        <f t="shared" si="0"/>
        <v>20.526877892488429</v>
      </c>
      <c r="AC24" s="3">
        <f t="shared" si="1"/>
        <v>53</v>
      </c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>
      <c r="A25" s="41"/>
      <c r="B25" s="34"/>
      <c r="C25" s="34"/>
      <c r="D25" s="34"/>
      <c r="E25" s="34"/>
      <c r="F25" s="34"/>
      <c r="G25" s="34"/>
      <c r="H25" s="34"/>
      <c r="I25" s="34"/>
      <c r="J25" s="34"/>
      <c r="K25" s="34"/>
      <c r="L25" s="34"/>
      <c r="M25" s="34"/>
      <c r="N25" s="34"/>
      <c r="O25" s="34"/>
      <c r="P25" s="34"/>
      <c r="Q25" s="34"/>
      <c r="R25" s="34"/>
      <c r="S25" s="35"/>
      <c r="T25" s="1"/>
      <c r="U25" s="1"/>
      <c r="V25" s="1"/>
      <c r="W25" s="1"/>
      <c r="X25" s="1"/>
      <c r="Y25" s="1"/>
      <c r="Z25" s="1"/>
      <c r="AA25" s="3">
        <v>13</v>
      </c>
      <c r="AB25" s="4">
        <f t="shared" si="0"/>
        <v>19.061157024793388</v>
      </c>
      <c r="AC25" s="3">
        <f t="shared" si="1"/>
        <v>55</v>
      </c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>
      <c r="A26" s="41"/>
      <c r="B26" s="34"/>
      <c r="C26" s="34"/>
      <c r="D26" s="34"/>
      <c r="E26" s="34"/>
      <c r="F26" s="34"/>
      <c r="G26" s="34"/>
      <c r="H26" s="34"/>
      <c r="I26" s="34"/>
      <c r="J26" s="34"/>
      <c r="K26" s="34"/>
      <c r="L26" s="34"/>
      <c r="M26" s="34"/>
      <c r="N26" s="34"/>
      <c r="O26" s="34"/>
      <c r="P26" s="34"/>
      <c r="Q26" s="34"/>
      <c r="R26" s="34"/>
      <c r="S26" s="35"/>
      <c r="T26" s="1"/>
      <c r="U26" s="1"/>
      <c r="V26" s="1"/>
      <c r="W26" s="1"/>
      <c r="X26" s="1"/>
      <c r="Y26" s="1"/>
      <c r="Z26" s="1"/>
      <c r="AA26" s="3">
        <v>14</v>
      </c>
      <c r="AB26" s="4">
        <f t="shared" si="0"/>
        <v>17.746999076638968</v>
      </c>
      <c r="AC26" s="3">
        <f t="shared" si="1"/>
        <v>57</v>
      </c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>
      <c r="A27" s="41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5"/>
      <c r="T27" s="1"/>
      <c r="U27" s="1"/>
      <c r="V27" s="1"/>
      <c r="W27" s="1"/>
      <c r="X27" s="1"/>
      <c r="Y27" s="1"/>
      <c r="Z27" s="1"/>
      <c r="AA27" s="3">
        <v>15</v>
      </c>
      <c r="AB27" s="4">
        <f t="shared" si="0"/>
        <v>16.564205688020685</v>
      </c>
      <c r="AC27" s="3">
        <f t="shared" si="1"/>
        <v>59</v>
      </c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s="27" customFormat="1" ht="14.25" customHeight="1">
      <c r="A28" s="46"/>
      <c r="B28" s="47"/>
      <c r="C28" s="47"/>
      <c r="D28" s="47"/>
      <c r="E28" s="47"/>
      <c r="F28" s="47"/>
      <c r="G28" s="47"/>
      <c r="H28" s="47"/>
      <c r="I28" s="47"/>
      <c r="J28" s="47"/>
      <c r="K28" s="47"/>
      <c r="L28" s="47"/>
      <c r="M28" s="47"/>
      <c r="N28" s="47"/>
      <c r="O28" s="47"/>
      <c r="P28" s="47"/>
      <c r="Q28" s="48"/>
      <c r="R28" s="47"/>
      <c r="S28" s="49"/>
      <c r="T28" s="24"/>
      <c r="U28" s="24"/>
      <c r="V28" s="24"/>
      <c r="W28" s="24"/>
      <c r="X28" s="24"/>
      <c r="Y28" s="24"/>
      <c r="Z28" s="24"/>
      <c r="AA28" s="3">
        <v>16</v>
      </c>
      <c r="AB28" s="4">
        <f t="shared" si="0"/>
        <v>15.495834453104004</v>
      </c>
      <c r="AC28" s="3">
        <f t="shared" si="1"/>
        <v>61</v>
      </c>
      <c r="AD28" s="1"/>
      <c r="AE28" s="24"/>
      <c r="AF28" s="24"/>
      <c r="AG28" s="24"/>
      <c r="AH28" s="24"/>
      <c r="AI28" s="24"/>
      <c r="AJ28" s="24"/>
      <c r="AK28" s="24"/>
      <c r="AL28" s="1"/>
      <c r="AM28" s="1"/>
      <c r="AN28" s="1"/>
      <c r="AO28" s="24"/>
      <c r="AP28" s="24"/>
      <c r="AQ28" s="24"/>
      <c r="AR28" s="24"/>
      <c r="AS28" s="24"/>
      <c r="AT28" s="24"/>
      <c r="AU28" s="24"/>
      <c r="AV28" s="24"/>
      <c r="AW28" s="24"/>
    </row>
    <row r="29" spans="1:49">
      <c r="A29" s="41"/>
      <c r="B29" s="34"/>
      <c r="C29" s="34"/>
      <c r="D29" s="34"/>
      <c r="E29" s="34"/>
      <c r="F29" s="34"/>
      <c r="G29" s="34"/>
      <c r="H29" s="34"/>
      <c r="I29" s="34"/>
      <c r="J29" s="34"/>
      <c r="K29" s="34"/>
      <c r="L29" s="34"/>
      <c r="M29" s="34"/>
      <c r="N29" s="34"/>
      <c r="O29" s="34"/>
      <c r="P29" s="34"/>
      <c r="Q29" s="34"/>
      <c r="R29" s="34"/>
      <c r="S29" s="35"/>
      <c r="T29" s="1"/>
      <c r="U29" s="1"/>
      <c r="V29" s="1"/>
      <c r="W29" s="1"/>
      <c r="X29" s="1"/>
      <c r="Y29" s="1"/>
      <c r="Z29" s="1"/>
      <c r="AA29" s="24"/>
      <c r="AB29" s="24"/>
      <c r="AC29" s="24"/>
      <c r="AD29" s="24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>
      <c r="A30" s="41"/>
      <c r="B30" s="34"/>
      <c r="C30" s="34"/>
      <c r="D30" s="34"/>
      <c r="E30" s="34"/>
      <c r="F30" s="34"/>
      <c r="G30" s="34"/>
      <c r="H30" s="34"/>
      <c r="I30" s="34"/>
      <c r="J30" s="34"/>
      <c r="K30" s="34"/>
      <c r="L30" s="34"/>
      <c r="M30" s="34"/>
      <c r="N30" s="34"/>
      <c r="O30" s="34"/>
      <c r="P30" s="34"/>
      <c r="Q30" s="34"/>
      <c r="R30" s="34"/>
      <c r="S30" s="35"/>
      <c r="T30" s="1"/>
      <c r="U30" s="1"/>
      <c r="V30" s="1"/>
      <c r="W30" s="1"/>
      <c r="X30" s="1"/>
      <c r="Y30" s="1"/>
      <c r="Z30" s="1"/>
      <c r="AA30" s="2" t="s">
        <v>30</v>
      </c>
      <c r="AB30" s="58">
        <v>50</v>
      </c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>
      <c r="A31" s="41"/>
      <c r="B31" s="34"/>
      <c r="C31" s="34"/>
      <c r="D31" s="34"/>
      <c r="E31" s="34"/>
      <c r="F31" s="34"/>
      <c r="G31" s="34"/>
      <c r="H31" s="34"/>
      <c r="I31" s="34"/>
      <c r="J31" s="34"/>
      <c r="K31" s="34"/>
      <c r="L31" s="34"/>
      <c r="M31" s="34"/>
      <c r="N31" s="34"/>
      <c r="O31" s="34"/>
      <c r="P31" s="34"/>
      <c r="Q31" s="34"/>
      <c r="R31" s="34"/>
      <c r="S31" s="35"/>
      <c r="T31" s="1"/>
      <c r="U31" s="1"/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>
      <c r="A32" s="41"/>
      <c r="B32" s="34"/>
      <c r="C32" s="34"/>
      <c r="D32" s="34"/>
      <c r="E32" s="34"/>
      <c r="F32" s="34"/>
      <c r="G32" s="34"/>
      <c r="H32" s="34"/>
      <c r="I32" s="34"/>
      <c r="J32" s="34"/>
      <c r="K32" s="34"/>
      <c r="L32" s="34"/>
      <c r="M32" s="34"/>
      <c r="N32" s="34"/>
      <c r="O32" s="34"/>
      <c r="P32" s="34"/>
      <c r="Q32" s="34"/>
      <c r="R32" s="34"/>
      <c r="S32" s="35"/>
      <c r="T32" s="1"/>
      <c r="U32" s="1"/>
      <c r="V32" s="1"/>
      <c r="W32" s="1"/>
      <c r="X32" s="1"/>
      <c r="Y32" s="1"/>
      <c r="Z32" s="1"/>
      <c r="AA32" s="2" t="s">
        <v>25</v>
      </c>
      <c r="AB32" s="59" t="s">
        <v>26</v>
      </c>
      <c r="AC32" s="59" t="s">
        <v>27</v>
      </c>
      <c r="AD32" s="59" t="s">
        <v>28</v>
      </c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>
      <c r="A33" s="41"/>
      <c r="B33" s="34"/>
      <c r="C33" s="34"/>
      <c r="D33" s="34"/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5"/>
      <c r="T33" s="1"/>
      <c r="U33" s="1"/>
      <c r="V33" s="1"/>
      <c r="W33" s="1"/>
      <c r="X33" s="1"/>
      <c r="Y33" s="1"/>
      <c r="Z33" s="1"/>
      <c r="AA33" s="1"/>
      <c r="AB33" s="68">
        <f>-Grid</f>
        <v>-50</v>
      </c>
      <c r="AC33" s="69">
        <v>0</v>
      </c>
      <c r="AD33" s="70">
        <v>0</v>
      </c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>
      <c r="A34" s="41"/>
      <c r="B34" s="34"/>
      <c r="C34" s="34"/>
      <c r="D34" s="34"/>
      <c r="E34" s="34"/>
      <c r="F34" s="34"/>
      <c r="G34" s="34"/>
      <c r="H34" s="34"/>
      <c r="I34" s="34"/>
      <c r="J34" s="34"/>
      <c r="K34" s="34"/>
      <c r="L34" s="34"/>
      <c r="M34" s="34"/>
      <c r="N34" s="34"/>
      <c r="O34" s="34"/>
      <c r="P34" s="34"/>
      <c r="Q34" s="34"/>
      <c r="R34" s="34"/>
      <c r="S34" s="35"/>
      <c r="T34" s="1"/>
      <c r="U34" s="1"/>
      <c r="V34" s="1"/>
      <c r="W34" s="1"/>
      <c r="X34" s="1"/>
      <c r="Y34" s="1"/>
      <c r="Z34" s="1"/>
      <c r="AA34" s="1"/>
      <c r="AB34" s="71">
        <f>+Grid</f>
        <v>50</v>
      </c>
      <c r="AC34" s="72">
        <v>0</v>
      </c>
      <c r="AD34" s="73">
        <v>0</v>
      </c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>
      <c r="A35" s="41"/>
      <c r="B35" s="34"/>
      <c r="C35" s="34"/>
      <c r="D35" s="34"/>
      <c r="E35" s="34"/>
      <c r="F35" s="34"/>
      <c r="G35" s="34"/>
      <c r="H35" s="34"/>
      <c r="I35" s="34"/>
      <c r="J35" s="34"/>
      <c r="K35" s="34"/>
      <c r="L35" s="34"/>
      <c r="M35" s="34"/>
      <c r="N35" s="34"/>
      <c r="O35" s="34"/>
      <c r="P35" s="34"/>
      <c r="Q35" s="34"/>
      <c r="R35" s="34"/>
      <c r="S35" s="35"/>
      <c r="T35" s="1"/>
      <c r="U35" s="1"/>
      <c r="V35" s="1"/>
      <c r="W35" s="1"/>
      <c r="X35" s="1"/>
      <c r="Y35" s="1"/>
      <c r="Z35" s="1"/>
      <c r="AA35" s="1"/>
      <c r="AB35" s="71"/>
      <c r="AC35" s="72"/>
      <c r="AD35" s="73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>
      <c r="A36" s="41"/>
      <c r="B36" s="34"/>
      <c r="C36" s="34"/>
      <c r="D36" s="34"/>
      <c r="E36" s="34"/>
      <c r="F36" s="34"/>
      <c r="G36" s="34"/>
      <c r="H36" s="34"/>
      <c r="I36" s="34"/>
      <c r="J36" s="34"/>
      <c r="K36" s="34"/>
      <c r="L36" s="34"/>
      <c r="M36" s="34"/>
      <c r="N36" s="34"/>
      <c r="O36" s="34"/>
      <c r="P36" s="34"/>
      <c r="Q36" s="34"/>
      <c r="R36" s="34"/>
      <c r="S36" s="35"/>
      <c r="T36" s="1"/>
      <c r="U36" s="1"/>
      <c r="V36" s="1"/>
      <c r="W36" s="1"/>
      <c r="X36" s="1"/>
      <c r="Y36" s="1"/>
      <c r="Z36" s="1"/>
      <c r="AA36" s="1"/>
      <c r="AB36" s="71">
        <v>0</v>
      </c>
      <c r="AC36" s="72">
        <f>-Grid</f>
        <v>-50</v>
      </c>
      <c r="AD36" s="73">
        <v>0</v>
      </c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>
      <c r="A37" s="41"/>
      <c r="B37" s="34"/>
      <c r="C37" s="34"/>
      <c r="D37" s="34"/>
      <c r="E37" s="34"/>
      <c r="F37" s="34"/>
      <c r="G37" s="34"/>
      <c r="H37" s="34"/>
      <c r="I37" s="34"/>
      <c r="J37" s="34"/>
      <c r="K37" s="34"/>
      <c r="L37" s="34"/>
      <c r="M37" s="34"/>
      <c r="N37" s="34"/>
      <c r="O37" s="34"/>
      <c r="P37" s="34"/>
      <c r="Q37" s="34"/>
      <c r="R37" s="34"/>
      <c r="S37" s="35"/>
      <c r="T37" s="1"/>
      <c r="U37" s="1"/>
      <c r="V37" s="1"/>
      <c r="W37" s="1"/>
      <c r="X37" s="1"/>
      <c r="Y37" s="1"/>
      <c r="Z37" s="1"/>
      <c r="AA37" s="1"/>
      <c r="AB37" s="71">
        <v>0</v>
      </c>
      <c r="AC37" s="72">
        <f>+Grid</f>
        <v>50</v>
      </c>
      <c r="AD37" s="73">
        <v>0</v>
      </c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>
      <c r="A38" s="41"/>
      <c r="B38" s="34"/>
      <c r="C38" s="34"/>
      <c r="D38" s="34"/>
      <c r="E38" s="34"/>
      <c r="F38" s="34"/>
      <c r="G38" s="34"/>
      <c r="H38" s="34"/>
      <c r="I38" s="34"/>
      <c r="J38" s="34"/>
      <c r="K38" s="34"/>
      <c r="L38" s="34"/>
      <c r="M38" s="34"/>
      <c r="N38" s="34"/>
      <c r="O38" s="34"/>
      <c r="P38" s="34"/>
      <c r="Q38" s="34"/>
      <c r="R38" s="34"/>
      <c r="S38" s="35"/>
      <c r="T38" s="1"/>
      <c r="U38" s="1"/>
      <c r="V38" s="1"/>
      <c r="W38" s="1"/>
      <c r="X38" s="1"/>
      <c r="Y38" s="1"/>
      <c r="Z38" s="1"/>
      <c r="AA38" s="1"/>
      <c r="AB38" s="71"/>
      <c r="AC38" s="72"/>
      <c r="AD38" s="73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>
      <c r="A39" s="41"/>
      <c r="B39" s="34"/>
      <c r="C39" s="34"/>
      <c r="D39" s="34"/>
      <c r="E39" s="34"/>
      <c r="F39" s="34"/>
      <c r="G39" s="34"/>
      <c r="H39" s="34"/>
      <c r="I39" s="34"/>
      <c r="J39" s="34"/>
      <c r="K39" s="34"/>
      <c r="L39" s="34"/>
      <c r="M39" s="34"/>
      <c r="N39" s="34"/>
      <c r="O39" s="34"/>
      <c r="P39" s="34"/>
      <c r="Q39" s="34"/>
      <c r="R39" s="34"/>
      <c r="S39" s="35"/>
      <c r="T39" s="1"/>
      <c r="U39" s="1"/>
      <c r="V39" s="1"/>
      <c r="W39" s="1"/>
      <c r="X39" s="1"/>
      <c r="Y39" s="1"/>
      <c r="Z39" s="1"/>
      <c r="AA39" s="1"/>
      <c r="AB39" s="71">
        <v>0</v>
      </c>
      <c r="AC39" s="72">
        <v>0</v>
      </c>
      <c r="AD39" s="73">
        <f>-Grid</f>
        <v>-50</v>
      </c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>
      <c r="A40" s="41"/>
      <c r="B40" s="34"/>
      <c r="C40" s="34"/>
      <c r="D40" s="34"/>
      <c r="E40" s="34"/>
      <c r="F40" s="34"/>
      <c r="G40" s="34"/>
      <c r="H40" s="34"/>
      <c r="I40" s="34"/>
      <c r="J40" s="34"/>
      <c r="K40" s="34"/>
      <c r="L40" s="34"/>
      <c r="M40" s="34"/>
      <c r="N40" s="34"/>
      <c r="O40" s="34"/>
      <c r="P40" s="34"/>
      <c r="Q40" s="34"/>
      <c r="R40" s="34"/>
      <c r="S40" s="35"/>
      <c r="T40" s="1"/>
      <c r="U40" s="1"/>
      <c r="V40" s="1"/>
      <c r="W40" s="1"/>
      <c r="X40" s="1"/>
      <c r="Y40" s="1"/>
      <c r="Z40" s="1"/>
      <c r="AA40" s="1"/>
      <c r="AB40" s="74">
        <v>0</v>
      </c>
      <c r="AC40" s="75">
        <v>0</v>
      </c>
      <c r="AD40" s="76">
        <f>+Grid</f>
        <v>50</v>
      </c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>
      <c r="A41" s="41"/>
      <c r="B41" s="34"/>
      <c r="C41" s="34"/>
      <c r="D41" s="34"/>
      <c r="E41" s="34"/>
      <c r="F41" s="34"/>
      <c r="G41" s="34"/>
      <c r="H41" s="34"/>
      <c r="I41" s="34"/>
      <c r="J41" s="34"/>
      <c r="K41" s="34"/>
      <c r="L41" s="34"/>
      <c r="M41" s="34"/>
      <c r="N41" s="34"/>
      <c r="O41" s="34"/>
      <c r="P41" s="34"/>
      <c r="Q41" s="34"/>
      <c r="R41" s="34"/>
      <c r="S41" s="35"/>
      <c r="T41" s="1"/>
      <c r="U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12" thickBot="1">
      <c r="A42" s="50"/>
      <c r="B42" s="51"/>
      <c r="C42" s="51"/>
      <c r="D42" s="51"/>
      <c r="E42" s="51"/>
      <c r="F42" s="51"/>
      <c r="G42" s="51"/>
      <c r="H42" s="51"/>
      <c r="I42" s="51"/>
      <c r="J42" s="51"/>
      <c r="K42" s="51"/>
      <c r="L42" s="51"/>
      <c r="M42" s="51"/>
      <c r="N42" s="51"/>
      <c r="O42" s="51"/>
      <c r="P42" s="51"/>
      <c r="Q42" s="51"/>
      <c r="R42" s="51"/>
      <c r="S42" s="52"/>
      <c r="T42" s="1"/>
      <c r="U42" s="1"/>
      <c r="V42" s="1"/>
      <c r="W42" s="1"/>
      <c r="X42" s="1"/>
      <c r="Y42" s="1"/>
      <c r="Z42" s="1"/>
      <c r="AA42" s="1"/>
      <c r="AB42" s="60">
        <f t="shared" ref="AB42:AB49" si="2">(AB33*RM_X1)+(AC33*RM_Y1)+(AD33*RM_Z1)</f>
        <v>-50</v>
      </c>
      <c r="AC42" s="61">
        <f t="shared" ref="AC42:AC49" si="3">(AB33*RM_X2)+(AC33*RM_Y2)+(AD33*RM_Z2)</f>
        <v>0</v>
      </c>
      <c r="AD42" s="34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12" thickTop="1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  <c r="AB43" s="62">
        <f t="shared" si="2"/>
        <v>50</v>
      </c>
      <c r="AC43" s="63">
        <f t="shared" si="3"/>
        <v>0</v>
      </c>
      <c r="AD43" s="34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  <c r="AB44" s="62">
        <f t="shared" si="2"/>
        <v>0</v>
      </c>
      <c r="AC44" s="63">
        <f t="shared" si="3"/>
        <v>0</v>
      </c>
      <c r="AD44" s="34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  <c r="AB45" s="62">
        <f t="shared" si="2"/>
        <v>0</v>
      </c>
      <c r="AC45" s="63">
        <f t="shared" si="3"/>
        <v>9.1886134118146501E-15</v>
      </c>
      <c r="AD45" s="34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  <c r="AB46" s="62">
        <f t="shared" si="2"/>
        <v>0</v>
      </c>
      <c r="AC46" s="63">
        <f t="shared" si="3"/>
        <v>-9.1886134118146501E-15</v>
      </c>
      <c r="AD46" s="34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  <c r="AB47" s="62">
        <f t="shared" si="2"/>
        <v>0</v>
      </c>
      <c r="AC47" s="63">
        <f t="shared" si="3"/>
        <v>0</v>
      </c>
      <c r="AD47" s="34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  <c r="AB48" s="62">
        <f t="shared" si="2"/>
        <v>0</v>
      </c>
      <c r="AC48" s="63">
        <f t="shared" si="3"/>
        <v>-50</v>
      </c>
      <c r="AD48" s="34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  <c r="AB49" s="64">
        <f t="shared" si="2"/>
        <v>0</v>
      </c>
      <c r="AC49" s="66">
        <f t="shared" si="3"/>
        <v>50</v>
      </c>
      <c r="AD49" s="34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67" t="s">
        <v>29</v>
      </c>
      <c r="AB51" s="56" t="s">
        <v>26</v>
      </c>
      <c r="AC51" s="56" t="s">
        <v>27</v>
      </c>
      <c r="AD51" s="56" t="s">
        <v>28</v>
      </c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34"/>
      <c r="AB52" s="68">
        <v>0</v>
      </c>
      <c r="AC52" s="69">
        <v>0</v>
      </c>
      <c r="AD52" s="70">
        <v>-90</v>
      </c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34"/>
      <c r="AB53" s="71">
        <v>-40</v>
      </c>
      <c r="AC53" s="72">
        <v>-80</v>
      </c>
      <c r="AD53" s="73">
        <f>+AD52</f>
        <v>-90</v>
      </c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34"/>
      <c r="AB54" s="71">
        <v>40</v>
      </c>
      <c r="AC54" s="72">
        <v>-80</v>
      </c>
      <c r="AD54" s="73">
        <f>+AD53</f>
        <v>-90</v>
      </c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34"/>
      <c r="AB55" s="71">
        <v>0</v>
      </c>
      <c r="AC55" s="72">
        <v>0</v>
      </c>
      <c r="AD55" s="73">
        <f>+AD54</f>
        <v>-90</v>
      </c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12.75">
      <c r="A56" s="1"/>
      <c r="B56" s="1"/>
      <c r="C56" s="1"/>
      <c r="D56" s="1"/>
      <c r="E56" s="1"/>
      <c r="F56" s="12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34"/>
      <c r="AB56" s="71"/>
      <c r="AC56" s="72"/>
      <c r="AD56" s="73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34"/>
      <c r="AB57" s="71">
        <v>0</v>
      </c>
      <c r="AC57" s="72">
        <v>0</v>
      </c>
      <c r="AD57" s="73">
        <v>80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34"/>
      <c r="AB58" s="71">
        <v>-40</v>
      </c>
      <c r="AC58" s="72">
        <v>-80</v>
      </c>
      <c r="AD58" s="73">
        <f>+AD57</f>
        <v>80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34"/>
      <c r="AB59" s="71">
        <v>40</v>
      </c>
      <c r="AC59" s="72">
        <v>-80</v>
      </c>
      <c r="AD59" s="73">
        <f>+AD58</f>
        <v>80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34"/>
      <c r="AB60" s="71">
        <v>0</v>
      </c>
      <c r="AC60" s="72">
        <v>0</v>
      </c>
      <c r="AD60" s="73">
        <f>+AD59</f>
        <v>80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34"/>
      <c r="AB61" s="71"/>
      <c r="AC61" s="72"/>
      <c r="AD61" s="73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  <c r="AB62" s="71">
        <v>0</v>
      </c>
      <c r="AC62" s="72">
        <v>0</v>
      </c>
      <c r="AD62" s="73">
        <v>-90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71">
        <v>0</v>
      </c>
      <c r="AC63" s="72">
        <v>0</v>
      </c>
      <c r="AD63" s="73">
        <v>80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71">
        <v>-40</v>
      </c>
      <c r="AC64" s="72">
        <v>-80</v>
      </c>
      <c r="AD64" s="73">
        <v>80</v>
      </c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71">
        <v>-40</v>
      </c>
      <c r="AC65" s="72">
        <v>-80</v>
      </c>
      <c r="AD65" s="73">
        <v>-90</v>
      </c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71">
        <v>40</v>
      </c>
      <c r="AC66" s="72">
        <v>-80</v>
      </c>
      <c r="AD66" s="73">
        <f>+AD65</f>
        <v>-90</v>
      </c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71">
        <v>40</v>
      </c>
      <c r="AC67" s="72">
        <v>-80</v>
      </c>
      <c r="AD67" s="73">
        <v>80</v>
      </c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62"/>
      <c r="AC68" s="34"/>
      <c r="AD68" s="63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62"/>
      <c r="AC69" s="34"/>
      <c r="AD69" s="63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64"/>
      <c r="AC70" s="65"/>
      <c r="AD70" s="66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60">
        <f t="shared" ref="AB72:AB90" si="4">(AB52*RM_X1)+(AC52*RM_Y1)+(AD52*RM_Z1)</f>
        <v>0</v>
      </c>
      <c r="AC72" s="61">
        <f t="shared" ref="AC72:AC90" si="5">(AB52*RM_X2)+(AC52*RM_Y2)+(AD52*RM_Z2)</f>
        <v>-90</v>
      </c>
      <c r="AD72" s="34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62">
        <f t="shared" si="4"/>
        <v>-40</v>
      </c>
      <c r="AC73" s="63">
        <f t="shared" si="5"/>
        <v>-89.999999999999986</v>
      </c>
      <c r="AD73" s="34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62">
        <f t="shared" si="4"/>
        <v>40</v>
      </c>
      <c r="AC74" s="63">
        <f t="shared" si="5"/>
        <v>-89.999999999999986</v>
      </c>
      <c r="AD74" s="34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62">
        <f t="shared" si="4"/>
        <v>0</v>
      </c>
      <c r="AC75" s="63">
        <f t="shared" si="5"/>
        <v>-90</v>
      </c>
      <c r="AD75" s="34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62">
        <f t="shared" si="4"/>
        <v>0</v>
      </c>
      <c r="AC76" s="63">
        <f t="shared" si="5"/>
        <v>0</v>
      </c>
      <c r="AD76" s="34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62">
        <f t="shared" si="4"/>
        <v>0</v>
      </c>
      <c r="AC77" s="63">
        <f t="shared" si="5"/>
        <v>80</v>
      </c>
      <c r="AD77" s="34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62">
        <f t="shared" si="4"/>
        <v>-40</v>
      </c>
      <c r="AC78" s="63">
        <f t="shared" si="5"/>
        <v>80.000000000000014</v>
      </c>
      <c r="AD78" s="34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62">
        <f t="shared" si="4"/>
        <v>40</v>
      </c>
      <c r="AC79" s="63">
        <f t="shared" si="5"/>
        <v>80.000000000000014</v>
      </c>
      <c r="AD79" s="34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62">
        <f t="shared" si="4"/>
        <v>0</v>
      </c>
      <c r="AC80" s="63">
        <f t="shared" si="5"/>
        <v>80</v>
      </c>
      <c r="AD80" s="34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62">
        <f t="shared" si="4"/>
        <v>0</v>
      </c>
      <c r="AC81" s="63">
        <f t="shared" si="5"/>
        <v>0</v>
      </c>
      <c r="AD81" s="34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62">
        <f t="shared" si="4"/>
        <v>0</v>
      </c>
      <c r="AC82" s="63">
        <f t="shared" si="5"/>
        <v>-90</v>
      </c>
      <c r="AD82" s="34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62">
        <f t="shared" si="4"/>
        <v>0</v>
      </c>
      <c r="AC83" s="63">
        <f t="shared" si="5"/>
        <v>80</v>
      </c>
      <c r="AD83" s="34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62">
        <f t="shared" si="4"/>
        <v>-40</v>
      </c>
      <c r="AC84" s="63">
        <f t="shared" si="5"/>
        <v>80.000000000000014</v>
      </c>
      <c r="AD84" s="34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62">
        <f t="shared" si="4"/>
        <v>-40</v>
      </c>
      <c r="AC85" s="63">
        <f t="shared" si="5"/>
        <v>-89.999999999999986</v>
      </c>
      <c r="AD85" s="34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62">
        <f t="shared" si="4"/>
        <v>40</v>
      </c>
      <c r="AC86" s="63">
        <f t="shared" si="5"/>
        <v>-89.999999999999986</v>
      </c>
      <c r="AD86" s="34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62">
        <f t="shared" si="4"/>
        <v>40</v>
      </c>
      <c r="AC87" s="63">
        <f t="shared" si="5"/>
        <v>80.000000000000014</v>
      </c>
      <c r="AD87" s="34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62">
        <f t="shared" si="4"/>
        <v>0</v>
      </c>
      <c r="AC88" s="63">
        <f t="shared" si="5"/>
        <v>0</v>
      </c>
      <c r="AD88" s="34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62">
        <f t="shared" si="4"/>
        <v>0</v>
      </c>
      <c r="AC89" s="63">
        <f t="shared" si="5"/>
        <v>0</v>
      </c>
      <c r="AD89" s="34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64">
        <f t="shared" si="4"/>
        <v>0</v>
      </c>
      <c r="AC90" s="66">
        <f t="shared" si="5"/>
        <v>0</v>
      </c>
      <c r="AD90" s="34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  <row r="368" spans="1:49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  <c r="AB368" s="1"/>
      <c r="AC368" s="1"/>
      <c r="AD368" s="1"/>
      <c r="AE368" s="1"/>
      <c r="AF368" s="1"/>
      <c r="AG368" s="1"/>
      <c r="AH368" s="1"/>
      <c r="AI368" s="1"/>
      <c r="AJ368" s="1"/>
      <c r="AK368" s="1"/>
      <c r="AL368" s="1"/>
      <c r="AM368" s="1"/>
      <c r="AN368" s="1"/>
      <c r="AO368" s="1"/>
      <c r="AP368" s="1"/>
      <c r="AQ368" s="1"/>
      <c r="AR368" s="1"/>
      <c r="AS368" s="1"/>
      <c r="AT368" s="1"/>
      <c r="AU368" s="1"/>
      <c r="AV368" s="1"/>
      <c r="AW368" s="1"/>
    </row>
    <row r="369" spans="1:49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  <c r="AB369" s="1"/>
      <c r="AC369" s="1"/>
      <c r="AD369" s="1"/>
      <c r="AE369" s="1"/>
      <c r="AF369" s="1"/>
      <c r="AG369" s="1"/>
      <c r="AH369" s="1"/>
      <c r="AI369" s="1"/>
      <c r="AJ369" s="1"/>
      <c r="AK369" s="1"/>
      <c r="AL369" s="1"/>
      <c r="AM369" s="1"/>
      <c r="AN369" s="1"/>
      <c r="AO369" s="1"/>
      <c r="AP369" s="1"/>
      <c r="AQ369" s="1"/>
      <c r="AR369" s="1"/>
      <c r="AS369" s="1"/>
      <c r="AT369" s="1"/>
      <c r="AU369" s="1"/>
      <c r="AV369" s="1"/>
      <c r="AW369" s="1"/>
    </row>
    <row r="370" spans="1:49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  <c r="AB370" s="1"/>
      <c r="AC370" s="1"/>
      <c r="AD370" s="1"/>
      <c r="AE370" s="1"/>
      <c r="AF370" s="1"/>
      <c r="AG370" s="1"/>
      <c r="AH370" s="1"/>
      <c r="AI370" s="1"/>
      <c r="AJ370" s="1"/>
      <c r="AK370" s="1"/>
      <c r="AL370" s="1"/>
      <c r="AM370" s="1"/>
      <c r="AN370" s="1"/>
      <c r="AO370" s="1"/>
      <c r="AP370" s="1"/>
      <c r="AQ370" s="1"/>
      <c r="AR370" s="1"/>
      <c r="AS370" s="1"/>
      <c r="AT370" s="1"/>
      <c r="AU370" s="1"/>
      <c r="AV370" s="1"/>
      <c r="AW370" s="1"/>
    </row>
    <row r="371" spans="1:49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  <c r="AB371" s="1"/>
      <c r="AC371" s="1"/>
      <c r="AD371" s="1"/>
      <c r="AE371" s="1"/>
      <c r="AF371" s="1"/>
      <c r="AG371" s="1"/>
      <c r="AH371" s="1"/>
      <c r="AI371" s="1"/>
      <c r="AJ371" s="1"/>
      <c r="AK371" s="1"/>
      <c r="AL371" s="1"/>
      <c r="AM371" s="1"/>
      <c r="AN371" s="1"/>
      <c r="AO371" s="1"/>
      <c r="AP371" s="1"/>
      <c r="AQ371" s="1"/>
      <c r="AR371" s="1"/>
      <c r="AS371" s="1"/>
      <c r="AT371" s="1"/>
      <c r="AU371" s="1"/>
      <c r="AV371" s="1"/>
      <c r="AW371" s="1"/>
    </row>
    <row r="372" spans="1:49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  <c r="AB372" s="1"/>
      <c r="AC372" s="1"/>
      <c r="AD372" s="1"/>
      <c r="AE372" s="1"/>
      <c r="AF372" s="1"/>
      <c r="AG372" s="1"/>
      <c r="AH372" s="1"/>
      <c r="AI372" s="1"/>
      <c r="AJ372" s="1"/>
      <c r="AK372" s="1"/>
      <c r="AL372" s="1"/>
      <c r="AM372" s="1"/>
      <c r="AN372" s="1"/>
      <c r="AO372" s="1"/>
      <c r="AP372" s="1"/>
      <c r="AQ372" s="1"/>
      <c r="AR372" s="1"/>
      <c r="AS372" s="1"/>
      <c r="AT372" s="1"/>
      <c r="AU372" s="1"/>
      <c r="AV372" s="1"/>
      <c r="AW372" s="1"/>
    </row>
    <row r="373" spans="1:49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  <c r="AB373" s="1"/>
      <c r="AC373" s="1"/>
      <c r="AD373" s="1"/>
      <c r="AE373" s="1"/>
      <c r="AF373" s="1"/>
      <c r="AG373" s="1"/>
      <c r="AH373" s="1"/>
      <c r="AI373" s="1"/>
      <c r="AJ373" s="1"/>
      <c r="AK373" s="1"/>
      <c r="AL373" s="1"/>
      <c r="AM373" s="1"/>
      <c r="AN373" s="1"/>
      <c r="AO373" s="1"/>
      <c r="AP373" s="1"/>
      <c r="AQ373" s="1"/>
      <c r="AR373" s="1"/>
      <c r="AS373" s="1"/>
      <c r="AT373" s="1"/>
      <c r="AU373" s="1"/>
      <c r="AV373" s="1"/>
      <c r="AW373" s="1"/>
    </row>
    <row r="374" spans="1:49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  <c r="AB374" s="1"/>
      <c r="AC374" s="1"/>
      <c r="AD374" s="1"/>
      <c r="AE374" s="1"/>
      <c r="AF374" s="1"/>
      <c r="AG374" s="1"/>
      <c r="AH374" s="1"/>
      <c r="AI374" s="1"/>
      <c r="AJ374" s="1"/>
      <c r="AK374" s="1"/>
      <c r="AL374" s="1"/>
      <c r="AM374" s="1"/>
      <c r="AN374" s="1"/>
      <c r="AO374" s="1"/>
      <c r="AP374" s="1"/>
      <c r="AQ374" s="1"/>
      <c r="AR374" s="1"/>
      <c r="AS374" s="1"/>
      <c r="AT374" s="1"/>
      <c r="AU374" s="1"/>
      <c r="AV374" s="1"/>
      <c r="AW374" s="1"/>
    </row>
    <row r="375" spans="1:49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  <c r="AB375" s="1"/>
      <c r="AC375" s="1"/>
      <c r="AD375" s="1"/>
      <c r="AE375" s="1"/>
      <c r="AF375" s="1"/>
      <c r="AG375" s="1"/>
      <c r="AH375" s="1"/>
      <c r="AI375" s="1"/>
      <c r="AJ375" s="1"/>
      <c r="AK375" s="1"/>
      <c r="AL375" s="1"/>
      <c r="AM375" s="1"/>
      <c r="AN375" s="1"/>
      <c r="AO375" s="1"/>
      <c r="AP375" s="1"/>
      <c r="AQ375" s="1"/>
      <c r="AR375" s="1"/>
      <c r="AS375" s="1"/>
      <c r="AT375" s="1"/>
      <c r="AU375" s="1"/>
      <c r="AV375" s="1"/>
      <c r="AW375" s="1"/>
    </row>
    <row r="376" spans="1:49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  <c r="AB376" s="1"/>
      <c r="AC376" s="1"/>
      <c r="AD376" s="1"/>
      <c r="AE376" s="1"/>
      <c r="AF376" s="1"/>
      <c r="AG376" s="1"/>
      <c r="AH376" s="1"/>
      <c r="AI376" s="1"/>
      <c r="AJ376" s="1"/>
      <c r="AK376" s="1"/>
      <c r="AL376" s="1"/>
      <c r="AM376" s="1"/>
      <c r="AN376" s="1"/>
      <c r="AO376" s="1"/>
      <c r="AP376" s="1"/>
      <c r="AQ376" s="1"/>
      <c r="AR376" s="1"/>
      <c r="AS376" s="1"/>
      <c r="AT376" s="1"/>
      <c r="AU376" s="1"/>
      <c r="AV376" s="1"/>
      <c r="AW376" s="1"/>
    </row>
    <row r="377" spans="1:49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  <c r="AB377" s="1"/>
      <c r="AC377" s="1"/>
      <c r="AD377" s="1"/>
      <c r="AE377" s="1"/>
      <c r="AF377" s="1"/>
      <c r="AG377" s="1"/>
      <c r="AH377" s="1"/>
      <c r="AI377" s="1"/>
      <c r="AJ377" s="1"/>
      <c r="AK377" s="1"/>
      <c r="AL377" s="1"/>
      <c r="AM377" s="1"/>
      <c r="AN377" s="1"/>
      <c r="AO377" s="1"/>
      <c r="AP377" s="1"/>
      <c r="AQ377" s="1"/>
      <c r="AR377" s="1"/>
      <c r="AS377" s="1"/>
      <c r="AT377" s="1"/>
      <c r="AU377" s="1"/>
      <c r="AV377" s="1"/>
      <c r="AW377" s="1"/>
    </row>
    <row r="378" spans="1:49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  <c r="AB378" s="1"/>
      <c r="AC378" s="1"/>
      <c r="AD378" s="1"/>
      <c r="AE378" s="1"/>
      <c r="AF378" s="1"/>
      <c r="AG378" s="1"/>
      <c r="AH378" s="1"/>
      <c r="AI378" s="1"/>
      <c r="AJ378" s="1"/>
      <c r="AK378" s="1"/>
      <c r="AL378" s="1"/>
      <c r="AM378" s="1"/>
      <c r="AN378" s="1"/>
      <c r="AO378" s="1"/>
      <c r="AP378" s="1"/>
      <c r="AQ378" s="1"/>
      <c r="AR378" s="1"/>
      <c r="AS378" s="1"/>
      <c r="AT378" s="1"/>
      <c r="AU378" s="1"/>
      <c r="AV378" s="1"/>
      <c r="AW378" s="1"/>
    </row>
    <row r="379" spans="1:49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  <c r="AB379" s="1"/>
      <c r="AC379" s="1"/>
      <c r="AD379" s="1"/>
      <c r="AE379" s="1"/>
      <c r="AF379" s="1"/>
      <c r="AG379" s="1"/>
      <c r="AH379" s="1"/>
      <c r="AI379" s="1"/>
      <c r="AJ379" s="1"/>
      <c r="AK379" s="1"/>
      <c r="AL379" s="1"/>
      <c r="AM379" s="1"/>
      <c r="AN379" s="1"/>
      <c r="AO379" s="1"/>
      <c r="AP379" s="1"/>
      <c r="AQ379" s="1"/>
      <c r="AR379" s="1"/>
      <c r="AS379" s="1"/>
      <c r="AT379" s="1"/>
      <c r="AU379" s="1"/>
      <c r="AV379" s="1"/>
      <c r="AW379" s="1"/>
    </row>
    <row r="380" spans="1:49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  <c r="AB380" s="1"/>
      <c r="AC380" s="1"/>
      <c r="AD380" s="1"/>
      <c r="AE380" s="1"/>
      <c r="AF380" s="1"/>
      <c r="AG380" s="1"/>
      <c r="AH380" s="1"/>
      <c r="AI380" s="1"/>
      <c r="AJ380" s="1"/>
      <c r="AK380" s="1"/>
      <c r="AL380" s="1"/>
      <c r="AM380" s="1"/>
      <c r="AN380" s="1"/>
      <c r="AO380" s="1"/>
      <c r="AP380" s="1"/>
      <c r="AQ380" s="1"/>
      <c r="AR380" s="1"/>
      <c r="AS380" s="1"/>
      <c r="AT380" s="1"/>
      <c r="AU380" s="1"/>
      <c r="AV380" s="1"/>
      <c r="AW380" s="1"/>
    </row>
    <row r="381" spans="1:49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  <c r="AB381" s="1"/>
      <c r="AC381" s="1"/>
      <c r="AD381" s="1"/>
      <c r="AE381" s="1"/>
      <c r="AF381" s="1"/>
      <c r="AG381" s="1"/>
      <c r="AH381" s="1"/>
      <c r="AI381" s="1"/>
      <c r="AJ381" s="1"/>
      <c r="AK381" s="1"/>
      <c r="AL381" s="1"/>
      <c r="AM381" s="1"/>
      <c r="AN381" s="1"/>
      <c r="AO381" s="1"/>
      <c r="AP381" s="1"/>
      <c r="AQ381" s="1"/>
      <c r="AR381" s="1"/>
      <c r="AS381" s="1"/>
      <c r="AT381" s="1"/>
      <c r="AU381" s="1"/>
      <c r="AV381" s="1"/>
      <c r="AW381" s="1"/>
    </row>
    <row r="382" spans="1:49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  <c r="AB382" s="1"/>
      <c r="AC382" s="1"/>
      <c r="AD382" s="1"/>
      <c r="AE382" s="1"/>
      <c r="AF382" s="1"/>
      <c r="AG382" s="1"/>
      <c r="AH382" s="1"/>
      <c r="AI382" s="1"/>
      <c r="AJ382" s="1"/>
      <c r="AK382" s="1"/>
      <c r="AL382" s="1"/>
      <c r="AM382" s="1"/>
      <c r="AN382" s="1"/>
      <c r="AO382" s="1"/>
      <c r="AP382" s="1"/>
      <c r="AQ382" s="1"/>
      <c r="AR382" s="1"/>
      <c r="AS382" s="1"/>
      <c r="AT382" s="1"/>
      <c r="AU382" s="1"/>
      <c r="AV382" s="1"/>
      <c r="AW382" s="1"/>
    </row>
    <row r="383" spans="1:49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  <c r="AB383" s="1"/>
      <c r="AC383" s="1"/>
      <c r="AD383" s="1"/>
      <c r="AE383" s="1"/>
      <c r="AF383" s="1"/>
      <c r="AG383" s="1"/>
      <c r="AH383" s="1"/>
      <c r="AI383" s="1"/>
      <c r="AJ383" s="1"/>
      <c r="AK383" s="1"/>
      <c r="AL383" s="1"/>
      <c r="AM383" s="1"/>
      <c r="AN383" s="1"/>
      <c r="AO383" s="1"/>
      <c r="AP383" s="1"/>
      <c r="AQ383" s="1"/>
      <c r="AR383" s="1"/>
      <c r="AS383" s="1"/>
      <c r="AT383" s="1"/>
      <c r="AU383" s="1"/>
      <c r="AV383" s="1"/>
      <c r="AW383" s="1"/>
    </row>
    <row r="384" spans="1:49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  <c r="AB384" s="1"/>
      <c r="AC384" s="1"/>
      <c r="AD384" s="1"/>
      <c r="AE384" s="1"/>
      <c r="AF384" s="1"/>
      <c r="AG384" s="1"/>
      <c r="AH384" s="1"/>
      <c r="AI384" s="1"/>
      <c r="AJ384" s="1"/>
      <c r="AK384" s="1"/>
      <c r="AL384" s="1"/>
      <c r="AM384" s="1"/>
      <c r="AN384" s="1"/>
      <c r="AO384" s="1"/>
      <c r="AP384" s="1"/>
      <c r="AQ384" s="1"/>
      <c r="AR384" s="1"/>
      <c r="AS384" s="1"/>
      <c r="AT384" s="1"/>
      <c r="AU384" s="1"/>
      <c r="AV384" s="1"/>
      <c r="AW384" s="1"/>
    </row>
    <row r="385" spans="1:49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  <c r="AB385" s="1"/>
      <c r="AC385" s="1"/>
      <c r="AD385" s="1"/>
      <c r="AE385" s="1"/>
      <c r="AF385" s="1"/>
      <c r="AG385" s="1"/>
      <c r="AH385" s="1"/>
      <c r="AI385" s="1"/>
      <c r="AJ385" s="1"/>
      <c r="AK385" s="1"/>
      <c r="AL385" s="1"/>
      <c r="AM385" s="1"/>
      <c r="AN385" s="1"/>
      <c r="AO385" s="1"/>
      <c r="AP385" s="1"/>
      <c r="AQ385" s="1"/>
      <c r="AR385" s="1"/>
      <c r="AS385" s="1"/>
      <c r="AT385" s="1"/>
      <c r="AU385" s="1"/>
      <c r="AV385" s="1"/>
      <c r="AW385" s="1"/>
    </row>
    <row r="386" spans="1:49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  <c r="AB386" s="1"/>
      <c r="AC386" s="1"/>
      <c r="AD386" s="1"/>
      <c r="AE386" s="1"/>
      <c r="AF386" s="1"/>
      <c r="AG386" s="1"/>
      <c r="AH386" s="1"/>
      <c r="AI386" s="1"/>
      <c r="AJ386" s="1"/>
      <c r="AK386" s="1"/>
      <c r="AL386" s="1"/>
      <c r="AM386" s="1"/>
      <c r="AN386" s="1"/>
      <c r="AO386" s="1"/>
      <c r="AP386" s="1"/>
      <c r="AQ386" s="1"/>
      <c r="AR386" s="1"/>
      <c r="AS386" s="1"/>
      <c r="AT386" s="1"/>
      <c r="AU386" s="1"/>
      <c r="AV386" s="1"/>
      <c r="AW386" s="1"/>
    </row>
    <row r="387" spans="1:49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  <c r="AB387" s="1"/>
      <c r="AC387" s="1"/>
      <c r="AD387" s="1"/>
      <c r="AE387" s="1"/>
      <c r="AF387" s="1"/>
      <c r="AG387" s="1"/>
      <c r="AH387" s="1"/>
      <c r="AI387" s="1"/>
      <c r="AJ387" s="1"/>
      <c r="AK387" s="1"/>
      <c r="AL387" s="1"/>
      <c r="AM387" s="1"/>
      <c r="AN387" s="1"/>
      <c r="AO387" s="1"/>
      <c r="AP387" s="1"/>
      <c r="AQ387" s="1"/>
      <c r="AR387" s="1"/>
      <c r="AS387" s="1"/>
      <c r="AT387" s="1"/>
      <c r="AU387" s="1"/>
      <c r="AV387" s="1"/>
      <c r="AW387" s="1"/>
    </row>
    <row r="388" spans="1:49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  <c r="AB388" s="1"/>
      <c r="AC388" s="1"/>
      <c r="AD388" s="1"/>
      <c r="AE388" s="1"/>
      <c r="AF388" s="1"/>
      <c r="AG388" s="1"/>
      <c r="AH388" s="1"/>
      <c r="AI388" s="1"/>
      <c r="AJ388" s="1"/>
      <c r="AK388" s="1"/>
      <c r="AL388" s="1"/>
      <c r="AM388" s="1"/>
      <c r="AN388" s="1"/>
      <c r="AO388" s="1"/>
      <c r="AP388" s="1"/>
      <c r="AQ388" s="1"/>
      <c r="AR388" s="1"/>
      <c r="AS388" s="1"/>
      <c r="AT388" s="1"/>
      <c r="AU388" s="1"/>
      <c r="AV388" s="1"/>
      <c r="AW388" s="1"/>
    </row>
    <row r="389" spans="1:49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  <c r="AB389" s="1"/>
      <c r="AC389" s="1"/>
      <c r="AD389" s="1"/>
      <c r="AE389" s="1"/>
      <c r="AF389" s="1"/>
      <c r="AG389" s="1"/>
      <c r="AH389" s="1"/>
      <c r="AI389" s="1"/>
      <c r="AJ389" s="1"/>
      <c r="AK389" s="1"/>
      <c r="AL389" s="1"/>
      <c r="AM389" s="1"/>
      <c r="AN389" s="1"/>
      <c r="AO389" s="1"/>
      <c r="AP389" s="1"/>
      <c r="AQ389" s="1"/>
      <c r="AR389" s="1"/>
      <c r="AS389" s="1"/>
      <c r="AT389" s="1"/>
      <c r="AU389" s="1"/>
      <c r="AV389" s="1"/>
      <c r="AW389" s="1"/>
    </row>
    <row r="390" spans="1:49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  <c r="AB390" s="1"/>
      <c r="AC390" s="1"/>
      <c r="AD390" s="1"/>
      <c r="AE390" s="1"/>
      <c r="AF390" s="1"/>
      <c r="AG390" s="1"/>
      <c r="AH390" s="1"/>
      <c r="AI390" s="1"/>
      <c r="AJ390" s="1"/>
      <c r="AK390" s="1"/>
      <c r="AL390" s="1"/>
      <c r="AM390" s="1"/>
      <c r="AN390" s="1"/>
      <c r="AO390" s="1"/>
      <c r="AP390" s="1"/>
      <c r="AQ390" s="1"/>
      <c r="AR390" s="1"/>
      <c r="AS390" s="1"/>
      <c r="AT390" s="1"/>
      <c r="AU390" s="1"/>
      <c r="AV390" s="1"/>
      <c r="AW390" s="1"/>
    </row>
    <row r="391" spans="1:49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  <c r="AB391" s="1"/>
      <c r="AC391" s="1"/>
      <c r="AD391" s="1"/>
      <c r="AE391" s="1"/>
      <c r="AF391" s="1"/>
      <c r="AG391" s="1"/>
      <c r="AH391" s="1"/>
      <c r="AI391" s="1"/>
      <c r="AJ391" s="1"/>
      <c r="AK391" s="1"/>
      <c r="AL391" s="1"/>
      <c r="AM391" s="1"/>
      <c r="AN391" s="1"/>
      <c r="AO391" s="1"/>
      <c r="AP391" s="1"/>
      <c r="AQ391" s="1"/>
      <c r="AR391" s="1"/>
      <c r="AS391" s="1"/>
      <c r="AT391" s="1"/>
      <c r="AU391" s="1"/>
      <c r="AV391" s="1"/>
      <c r="AW391" s="1"/>
    </row>
    <row r="392" spans="1:49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  <c r="AB392" s="1"/>
      <c r="AC392" s="1"/>
      <c r="AD392" s="1"/>
      <c r="AE392" s="1"/>
      <c r="AF392" s="1"/>
      <c r="AG392" s="1"/>
      <c r="AH392" s="1"/>
      <c r="AI392" s="1"/>
      <c r="AJ392" s="1"/>
      <c r="AK392" s="1"/>
      <c r="AL392" s="1"/>
      <c r="AM392" s="1"/>
      <c r="AN392" s="1"/>
      <c r="AO392" s="1"/>
      <c r="AP392" s="1"/>
      <c r="AQ392" s="1"/>
      <c r="AR392" s="1"/>
      <c r="AS392" s="1"/>
      <c r="AT392" s="1"/>
      <c r="AU392" s="1"/>
      <c r="AV392" s="1"/>
      <c r="AW392" s="1"/>
    </row>
    <row r="393" spans="1:49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  <c r="AB393" s="1"/>
      <c r="AC393" s="1"/>
      <c r="AD393" s="1"/>
      <c r="AE393" s="1"/>
      <c r="AF393" s="1"/>
      <c r="AG393" s="1"/>
      <c r="AH393" s="1"/>
      <c r="AI393" s="1"/>
      <c r="AJ393" s="1"/>
      <c r="AK393" s="1"/>
      <c r="AL393" s="1"/>
      <c r="AM393" s="1"/>
      <c r="AN393" s="1"/>
      <c r="AO393" s="1"/>
      <c r="AP393" s="1"/>
      <c r="AQ393" s="1"/>
      <c r="AR393" s="1"/>
      <c r="AS393" s="1"/>
      <c r="AT393" s="1"/>
      <c r="AU393" s="1"/>
      <c r="AV393" s="1"/>
      <c r="AW393" s="1"/>
    </row>
    <row r="394" spans="1:49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  <c r="AB394" s="1"/>
      <c r="AC394" s="1"/>
      <c r="AD394" s="1"/>
      <c r="AE394" s="1"/>
      <c r="AF394" s="1"/>
      <c r="AG394" s="1"/>
      <c r="AH394" s="1"/>
      <c r="AI394" s="1"/>
      <c r="AJ394" s="1"/>
      <c r="AK394" s="1"/>
      <c r="AL394" s="1"/>
      <c r="AM394" s="1"/>
      <c r="AN394" s="1"/>
      <c r="AO394" s="1"/>
      <c r="AP394" s="1"/>
      <c r="AQ394" s="1"/>
      <c r="AR394" s="1"/>
      <c r="AS394" s="1"/>
      <c r="AT394" s="1"/>
      <c r="AU394" s="1"/>
      <c r="AV394" s="1"/>
      <c r="AW394" s="1"/>
    </row>
    <row r="395" spans="1:49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  <c r="AB395" s="1"/>
      <c r="AC395" s="1"/>
      <c r="AD395" s="1"/>
      <c r="AE395" s="1"/>
      <c r="AF395" s="1"/>
      <c r="AG395" s="1"/>
      <c r="AH395" s="1"/>
      <c r="AI395" s="1"/>
      <c r="AJ395" s="1"/>
      <c r="AK395" s="1"/>
      <c r="AL395" s="1"/>
      <c r="AM395" s="1"/>
      <c r="AN395" s="1"/>
      <c r="AO395" s="1"/>
      <c r="AP395" s="1"/>
      <c r="AQ395" s="1"/>
      <c r="AR395" s="1"/>
      <c r="AS395" s="1"/>
      <c r="AT395" s="1"/>
      <c r="AU395" s="1"/>
      <c r="AV395" s="1"/>
      <c r="AW395" s="1"/>
    </row>
    <row r="396" spans="1:49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  <c r="AB396" s="1"/>
      <c r="AC396" s="1"/>
      <c r="AD396" s="1"/>
      <c r="AE396" s="1"/>
      <c r="AF396" s="1"/>
      <c r="AG396" s="1"/>
      <c r="AH396" s="1"/>
      <c r="AI396" s="1"/>
      <c r="AJ396" s="1"/>
      <c r="AK396" s="1"/>
      <c r="AL396" s="1"/>
      <c r="AM396" s="1"/>
      <c r="AN396" s="1"/>
      <c r="AO396" s="1"/>
      <c r="AP396" s="1"/>
      <c r="AQ396" s="1"/>
      <c r="AR396" s="1"/>
      <c r="AS396" s="1"/>
      <c r="AT396" s="1"/>
      <c r="AU396" s="1"/>
      <c r="AV396" s="1"/>
      <c r="AW396" s="1"/>
    </row>
    <row r="397" spans="1:49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  <c r="AB397" s="1"/>
      <c r="AC397" s="1"/>
      <c r="AD397" s="1"/>
      <c r="AE397" s="1"/>
      <c r="AF397" s="1"/>
      <c r="AG397" s="1"/>
      <c r="AH397" s="1"/>
      <c r="AI397" s="1"/>
      <c r="AJ397" s="1"/>
      <c r="AK397" s="1"/>
      <c r="AL397" s="1"/>
      <c r="AM397" s="1"/>
      <c r="AN397" s="1"/>
      <c r="AO397" s="1"/>
      <c r="AP397" s="1"/>
      <c r="AQ397" s="1"/>
      <c r="AR397" s="1"/>
      <c r="AS397" s="1"/>
      <c r="AT397" s="1"/>
      <c r="AU397" s="1"/>
      <c r="AV397" s="1"/>
      <c r="AW397" s="1"/>
    </row>
    <row r="398" spans="1:49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  <c r="AB398" s="1"/>
      <c r="AC398" s="1"/>
      <c r="AD398" s="1"/>
      <c r="AE398" s="1"/>
      <c r="AF398" s="1"/>
      <c r="AG398" s="1"/>
      <c r="AH398" s="1"/>
      <c r="AI398" s="1"/>
      <c r="AJ398" s="1"/>
      <c r="AK398" s="1"/>
      <c r="AL398" s="1"/>
      <c r="AM398" s="1"/>
      <c r="AN398" s="1"/>
      <c r="AO398" s="1"/>
      <c r="AP398" s="1"/>
      <c r="AQ398" s="1"/>
      <c r="AR398" s="1"/>
      <c r="AS398" s="1"/>
      <c r="AT398" s="1"/>
      <c r="AU398" s="1"/>
      <c r="AV398" s="1"/>
      <c r="AW398" s="1"/>
    </row>
    <row r="399" spans="1:49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  <c r="AB399" s="1"/>
      <c r="AC399" s="1"/>
      <c r="AD399" s="1"/>
      <c r="AE399" s="1"/>
      <c r="AF399" s="1"/>
      <c r="AG399" s="1"/>
      <c r="AH399" s="1"/>
      <c r="AI399" s="1"/>
      <c r="AJ399" s="1"/>
      <c r="AK399" s="1"/>
      <c r="AL399" s="1"/>
      <c r="AM399" s="1"/>
      <c r="AN399" s="1"/>
      <c r="AO399" s="1"/>
      <c r="AP399" s="1"/>
      <c r="AQ399" s="1"/>
      <c r="AR399" s="1"/>
      <c r="AS399" s="1"/>
      <c r="AT399" s="1"/>
      <c r="AU399" s="1"/>
      <c r="AV399" s="1"/>
      <c r="AW399" s="1"/>
    </row>
    <row r="400" spans="1:49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  <c r="AB400" s="1"/>
      <c r="AC400" s="1"/>
      <c r="AD400" s="1"/>
      <c r="AE400" s="1"/>
      <c r="AF400" s="1"/>
      <c r="AG400" s="1"/>
      <c r="AH400" s="1"/>
      <c r="AI400" s="1"/>
      <c r="AJ400" s="1"/>
      <c r="AK400" s="1"/>
      <c r="AL400" s="1"/>
      <c r="AM400" s="1"/>
      <c r="AN400" s="1"/>
      <c r="AO400" s="1"/>
      <c r="AP400" s="1"/>
      <c r="AQ400" s="1"/>
      <c r="AR400" s="1"/>
      <c r="AS400" s="1"/>
      <c r="AT400" s="1"/>
      <c r="AU400" s="1"/>
      <c r="AV400" s="1"/>
      <c r="AW400" s="1"/>
    </row>
    <row r="401" spans="1:49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  <c r="AB401" s="1"/>
      <c r="AC401" s="1"/>
      <c r="AD401" s="1"/>
      <c r="AE401" s="1"/>
      <c r="AF401" s="1"/>
      <c r="AG401" s="1"/>
      <c r="AH401" s="1"/>
      <c r="AI401" s="1"/>
      <c r="AJ401" s="1"/>
      <c r="AK401" s="1"/>
      <c r="AL401" s="1"/>
      <c r="AM401" s="1"/>
      <c r="AN401" s="1"/>
      <c r="AO401" s="1"/>
      <c r="AP401" s="1"/>
      <c r="AQ401" s="1"/>
      <c r="AR401" s="1"/>
      <c r="AS401" s="1"/>
      <c r="AT401" s="1"/>
      <c r="AU401" s="1"/>
      <c r="AV401" s="1"/>
      <c r="AW401" s="1"/>
    </row>
    <row r="402" spans="1:49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  <c r="AB402" s="1"/>
      <c r="AC402" s="1"/>
      <c r="AD402" s="1"/>
      <c r="AE402" s="1"/>
      <c r="AF402" s="1"/>
      <c r="AG402" s="1"/>
      <c r="AH402" s="1"/>
      <c r="AI402" s="1"/>
      <c r="AJ402" s="1"/>
      <c r="AK402" s="1"/>
      <c r="AL402" s="1"/>
      <c r="AM402" s="1"/>
      <c r="AN402" s="1"/>
      <c r="AO402" s="1"/>
      <c r="AP402" s="1"/>
      <c r="AQ402" s="1"/>
      <c r="AR402" s="1"/>
      <c r="AS402" s="1"/>
      <c r="AT402" s="1"/>
      <c r="AU402" s="1"/>
      <c r="AV402" s="1"/>
      <c r="AW402" s="1"/>
    </row>
    <row r="403" spans="1:49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  <c r="AB403" s="1"/>
      <c r="AC403" s="1"/>
      <c r="AD403" s="1"/>
      <c r="AE403" s="1"/>
      <c r="AF403" s="1"/>
      <c r="AG403" s="1"/>
      <c r="AH403" s="1"/>
      <c r="AI403" s="1"/>
      <c r="AJ403" s="1"/>
      <c r="AK403" s="1"/>
      <c r="AL403" s="1"/>
      <c r="AM403" s="1"/>
      <c r="AN403" s="1"/>
      <c r="AO403" s="1"/>
      <c r="AP403" s="1"/>
      <c r="AQ403" s="1"/>
      <c r="AR403" s="1"/>
      <c r="AS403" s="1"/>
      <c r="AT403" s="1"/>
      <c r="AU403" s="1"/>
      <c r="AV403" s="1"/>
      <c r="AW403" s="1"/>
    </row>
    <row r="404" spans="1:49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  <c r="AB404" s="1"/>
      <c r="AC404" s="1"/>
      <c r="AD404" s="1"/>
      <c r="AE404" s="1"/>
      <c r="AF404" s="1"/>
      <c r="AG404" s="1"/>
      <c r="AH404" s="1"/>
      <c r="AI404" s="1"/>
      <c r="AJ404" s="1"/>
      <c r="AK404" s="1"/>
      <c r="AL404" s="1"/>
      <c r="AM404" s="1"/>
      <c r="AN404" s="1"/>
      <c r="AO404" s="1"/>
      <c r="AP404" s="1"/>
      <c r="AQ404" s="1"/>
      <c r="AR404" s="1"/>
      <c r="AS404" s="1"/>
      <c r="AT404" s="1"/>
      <c r="AU404" s="1"/>
      <c r="AV404" s="1"/>
      <c r="AW404" s="1"/>
    </row>
    <row r="405" spans="1:49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  <c r="AB405" s="1"/>
      <c r="AC405" s="1"/>
      <c r="AD405" s="1"/>
      <c r="AE405" s="1"/>
      <c r="AF405" s="1"/>
      <c r="AG405" s="1"/>
      <c r="AH405" s="1"/>
      <c r="AI405" s="1"/>
      <c r="AJ405" s="1"/>
      <c r="AK405" s="1"/>
      <c r="AL405" s="1"/>
      <c r="AM405" s="1"/>
      <c r="AN405" s="1"/>
      <c r="AO405" s="1"/>
      <c r="AP405" s="1"/>
      <c r="AQ405" s="1"/>
      <c r="AR405" s="1"/>
      <c r="AS405" s="1"/>
      <c r="AT405" s="1"/>
      <c r="AU405" s="1"/>
      <c r="AV405" s="1"/>
      <c r="AW405" s="1"/>
    </row>
    <row r="406" spans="1:49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  <c r="AB406" s="1"/>
      <c r="AC406" s="1"/>
      <c r="AD406" s="1"/>
      <c r="AE406" s="1"/>
      <c r="AF406" s="1"/>
      <c r="AG406" s="1"/>
      <c r="AH406" s="1"/>
      <c r="AI406" s="1"/>
      <c r="AJ406" s="1"/>
      <c r="AK406" s="1"/>
      <c r="AL406" s="1"/>
      <c r="AM406" s="1"/>
      <c r="AN406" s="1"/>
      <c r="AO406" s="1"/>
      <c r="AP406" s="1"/>
      <c r="AQ406" s="1"/>
      <c r="AR406" s="1"/>
      <c r="AS406" s="1"/>
      <c r="AT406" s="1"/>
      <c r="AU406" s="1"/>
      <c r="AV406" s="1"/>
      <c r="AW406" s="1"/>
    </row>
    <row r="407" spans="1:49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  <c r="AB407" s="1"/>
      <c r="AC407" s="1"/>
      <c r="AD407" s="1"/>
      <c r="AE407" s="1"/>
      <c r="AF407" s="1"/>
      <c r="AG407" s="1"/>
      <c r="AH407" s="1"/>
      <c r="AI407" s="1"/>
      <c r="AJ407" s="1"/>
      <c r="AK407" s="1"/>
      <c r="AL407" s="1"/>
      <c r="AM407" s="1"/>
      <c r="AN407" s="1"/>
      <c r="AO407" s="1"/>
      <c r="AP407" s="1"/>
      <c r="AQ407" s="1"/>
      <c r="AR407" s="1"/>
      <c r="AS407" s="1"/>
      <c r="AT407" s="1"/>
      <c r="AU407" s="1"/>
      <c r="AV407" s="1"/>
      <c r="AW407" s="1"/>
    </row>
    <row r="408" spans="1:49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  <c r="AB408" s="1"/>
      <c r="AC408" s="1"/>
      <c r="AD408" s="1"/>
      <c r="AE408" s="1"/>
      <c r="AF408" s="1"/>
      <c r="AG408" s="1"/>
      <c r="AH408" s="1"/>
      <c r="AI408" s="1"/>
      <c r="AJ408" s="1"/>
      <c r="AK408" s="1"/>
      <c r="AL408" s="1"/>
      <c r="AM408" s="1"/>
      <c r="AN408" s="1"/>
      <c r="AO408" s="1"/>
      <c r="AP408" s="1"/>
      <c r="AQ408" s="1"/>
      <c r="AR408" s="1"/>
      <c r="AS408" s="1"/>
      <c r="AT408" s="1"/>
      <c r="AU408" s="1"/>
      <c r="AV408" s="1"/>
      <c r="AW408" s="1"/>
    </row>
    <row r="409" spans="1:49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  <c r="AB409" s="1"/>
      <c r="AC409" s="1"/>
      <c r="AD409" s="1"/>
      <c r="AE409" s="1"/>
      <c r="AF409" s="1"/>
      <c r="AG409" s="1"/>
      <c r="AH409" s="1"/>
      <c r="AI409" s="1"/>
      <c r="AJ409" s="1"/>
      <c r="AK409" s="1"/>
      <c r="AL409" s="1"/>
      <c r="AM409" s="1"/>
      <c r="AN409" s="1"/>
      <c r="AO409" s="1"/>
      <c r="AP409" s="1"/>
      <c r="AQ409" s="1"/>
      <c r="AR409" s="1"/>
      <c r="AS409" s="1"/>
      <c r="AT409" s="1"/>
      <c r="AU409" s="1"/>
      <c r="AV409" s="1"/>
      <c r="AW409" s="1"/>
    </row>
    <row r="410" spans="1:49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  <c r="AB410" s="1"/>
      <c r="AC410" s="1"/>
      <c r="AD410" s="1"/>
      <c r="AE410" s="1"/>
      <c r="AF410" s="1"/>
      <c r="AG410" s="1"/>
      <c r="AH410" s="1"/>
      <c r="AI410" s="1"/>
      <c r="AJ410" s="1"/>
      <c r="AK410" s="1"/>
      <c r="AL410" s="1"/>
      <c r="AM410" s="1"/>
      <c r="AN410" s="1"/>
      <c r="AO410" s="1"/>
      <c r="AP410" s="1"/>
      <c r="AQ410" s="1"/>
      <c r="AR410" s="1"/>
      <c r="AS410" s="1"/>
      <c r="AT410" s="1"/>
      <c r="AU410" s="1"/>
      <c r="AV410" s="1"/>
      <c r="AW410" s="1"/>
    </row>
    <row r="411" spans="1:49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  <c r="AB411" s="1"/>
      <c r="AC411" s="1"/>
      <c r="AD411" s="1"/>
      <c r="AE411" s="1"/>
      <c r="AF411" s="1"/>
      <c r="AG411" s="1"/>
      <c r="AH411" s="1"/>
      <c r="AI411" s="1"/>
      <c r="AJ411" s="1"/>
      <c r="AK411" s="1"/>
      <c r="AL411" s="1"/>
      <c r="AM411" s="1"/>
      <c r="AN411" s="1"/>
      <c r="AO411" s="1"/>
      <c r="AP411" s="1"/>
      <c r="AQ411" s="1"/>
      <c r="AR411" s="1"/>
      <c r="AS411" s="1"/>
      <c r="AT411" s="1"/>
      <c r="AU411" s="1"/>
      <c r="AV411" s="1"/>
      <c r="AW411" s="1"/>
    </row>
    <row r="412" spans="1:49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  <c r="AB412" s="1"/>
      <c r="AC412" s="1"/>
      <c r="AD412" s="1"/>
      <c r="AE412" s="1"/>
      <c r="AF412" s="1"/>
      <c r="AG412" s="1"/>
      <c r="AH412" s="1"/>
      <c r="AI412" s="1"/>
      <c r="AJ412" s="1"/>
      <c r="AK412" s="1"/>
      <c r="AL412" s="1"/>
      <c r="AM412" s="1"/>
      <c r="AN412" s="1"/>
      <c r="AO412" s="1"/>
      <c r="AP412" s="1"/>
      <c r="AQ412" s="1"/>
      <c r="AR412" s="1"/>
      <c r="AS412" s="1"/>
      <c r="AT412" s="1"/>
      <c r="AU412" s="1"/>
      <c r="AV412" s="1"/>
      <c r="AW412" s="1"/>
    </row>
    <row r="413" spans="1:49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  <c r="AB413" s="1"/>
      <c r="AC413" s="1"/>
      <c r="AD413" s="1"/>
      <c r="AE413" s="1"/>
      <c r="AF413" s="1"/>
      <c r="AG413" s="1"/>
      <c r="AH413" s="1"/>
      <c r="AI413" s="1"/>
      <c r="AJ413" s="1"/>
      <c r="AK413" s="1"/>
      <c r="AL413" s="1"/>
      <c r="AM413" s="1"/>
      <c r="AN413" s="1"/>
      <c r="AO413" s="1"/>
      <c r="AP413" s="1"/>
      <c r="AQ413" s="1"/>
      <c r="AR413" s="1"/>
      <c r="AS413" s="1"/>
      <c r="AT413" s="1"/>
      <c r="AU413" s="1"/>
      <c r="AV413" s="1"/>
      <c r="AW413" s="1"/>
    </row>
    <row r="414" spans="1:49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  <c r="AB414" s="1"/>
      <c r="AC414" s="1"/>
      <c r="AD414" s="1"/>
      <c r="AE414" s="1"/>
      <c r="AF414" s="1"/>
      <c r="AG414" s="1"/>
      <c r="AH414" s="1"/>
      <c r="AI414" s="1"/>
      <c r="AJ414" s="1"/>
      <c r="AK414" s="1"/>
      <c r="AL414" s="1"/>
      <c r="AM414" s="1"/>
      <c r="AN414" s="1"/>
      <c r="AO414" s="1"/>
      <c r="AP414" s="1"/>
      <c r="AQ414" s="1"/>
      <c r="AR414" s="1"/>
      <c r="AS414" s="1"/>
      <c r="AT414" s="1"/>
      <c r="AU414" s="1"/>
      <c r="AV414" s="1"/>
      <c r="AW414" s="1"/>
    </row>
    <row r="415" spans="1:49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  <c r="AB415" s="1"/>
      <c r="AC415" s="1"/>
      <c r="AD415" s="1"/>
      <c r="AE415" s="1"/>
      <c r="AF415" s="1"/>
      <c r="AG415" s="1"/>
      <c r="AH415" s="1"/>
      <c r="AI415" s="1"/>
      <c r="AJ415" s="1"/>
      <c r="AK415" s="1"/>
      <c r="AL415" s="1"/>
      <c r="AM415" s="1"/>
      <c r="AN415" s="1"/>
      <c r="AO415" s="1"/>
      <c r="AP415" s="1"/>
      <c r="AQ415" s="1"/>
      <c r="AR415" s="1"/>
      <c r="AS415" s="1"/>
      <c r="AT415" s="1"/>
      <c r="AU415" s="1"/>
      <c r="AV415" s="1"/>
      <c r="AW415" s="1"/>
    </row>
    <row r="416" spans="1:49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  <c r="AB416" s="1"/>
      <c r="AC416" s="1"/>
      <c r="AD416" s="1"/>
      <c r="AE416" s="1"/>
      <c r="AF416" s="1"/>
      <c r="AG416" s="1"/>
      <c r="AH416" s="1"/>
      <c r="AI416" s="1"/>
      <c r="AJ416" s="1"/>
      <c r="AK416" s="1"/>
      <c r="AL416" s="1"/>
      <c r="AM416" s="1"/>
      <c r="AN416" s="1"/>
      <c r="AO416" s="1"/>
      <c r="AP416" s="1"/>
      <c r="AQ416" s="1"/>
      <c r="AR416" s="1"/>
      <c r="AS416" s="1"/>
      <c r="AT416" s="1"/>
      <c r="AU416" s="1"/>
      <c r="AV416" s="1"/>
      <c r="AW416" s="1"/>
    </row>
    <row r="417" spans="1:49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  <c r="AB417" s="1"/>
      <c r="AC417" s="1"/>
      <c r="AD417" s="1"/>
      <c r="AE417" s="1"/>
      <c r="AF417" s="1"/>
      <c r="AG417" s="1"/>
      <c r="AH417" s="1"/>
      <c r="AI417" s="1"/>
      <c r="AJ417" s="1"/>
      <c r="AK417" s="1"/>
      <c r="AL417" s="1"/>
      <c r="AM417" s="1"/>
      <c r="AN417" s="1"/>
      <c r="AO417" s="1"/>
      <c r="AP417" s="1"/>
      <c r="AQ417" s="1"/>
      <c r="AR417" s="1"/>
      <c r="AS417" s="1"/>
      <c r="AT417" s="1"/>
      <c r="AU417" s="1"/>
      <c r="AV417" s="1"/>
      <c r="AW417" s="1"/>
    </row>
    <row r="418" spans="1:49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  <c r="AB418" s="1"/>
      <c r="AC418" s="1"/>
      <c r="AD418" s="1"/>
      <c r="AE418" s="1"/>
      <c r="AF418" s="1"/>
      <c r="AG418" s="1"/>
      <c r="AH418" s="1"/>
      <c r="AI418" s="1"/>
      <c r="AJ418" s="1"/>
      <c r="AK418" s="1"/>
      <c r="AL418" s="1"/>
      <c r="AM418" s="1"/>
      <c r="AN418" s="1"/>
      <c r="AO418" s="1"/>
      <c r="AP418" s="1"/>
      <c r="AQ418" s="1"/>
      <c r="AR418" s="1"/>
      <c r="AS418" s="1"/>
      <c r="AT418" s="1"/>
      <c r="AU418" s="1"/>
      <c r="AV418" s="1"/>
      <c r="AW418" s="1"/>
    </row>
    <row r="419" spans="1:49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  <c r="AB419" s="1"/>
      <c r="AC419" s="1"/>
      <c r="AD419" s="1"/>
      <c r="AE419" s="1"/>
      <c r="AF419" s="1"/>
      <c r="AG419" s="1"/>
      <c r="AH419" s="1"/>
      <c r="AI419" s="1"/>
      <c r="AJ419" s="1"/>
      <c r="AK419" s="1"/>
      <c r="AL419" s="1"/>
      <c r="AM419" s="1"/>
      <c r="AN419" s="1"/>
      <c r="AO419" s="1"/>
      <c r="AP419" s="1"/>
      <c r="AQ419" s="1"/>
      <c r="AR419" s="1"/>
      <c r="AS419" s="1"/>
      <c r="AT419" s="1"/>
      <c r="AU419" s="1"/>
      <c r="AV419" s="1"/>
      <c r="AW419" s="1"/>
    </row>
    <row r="420" spans="1:49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  <c r="AB420" s="1"/>
      <c r="AC420" s="1"/>
      <c r="AD420" s="1"/>
      <c r="AE420" s="1"/>
      <c r="AF420" s="1"/>
      <c r="AG420" s="1"/>
      <c r="AH420" s="1"/>
      <c r="AI420" s="1"/>
      <c r="AJ420" s="1"/>
      <c r="AK420" s="1"/>
      <c r="AL420" s="1"/>
      <c r="AM420" s="1"/>
      <c r="AN420" s="1"/>
      <c r="AO420" s="1"/>
      <c r="AP420" s="1"/>
      <c r="AQ420" s="1"/>
      <c r="AR420" s="1"/>
      <c r="AS420" s="1"/>
      <c r="AT420" s="1"/>
      <c r="AU420" s="1"/>
      <c r="AV420" s="1"/>
      <c r="AW420" s="1"/>
    </row>
    <row r="421" spans="1:49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  <c r="AB421" s="1"/>
      <c r="AC421" s="1"/>
      <c r="AD421" s="1"/>
      <c r="AE421" s="1"/>
      <c r="AF421" s="1"/>
      <c r="AG421" s="1"/>
      <c r="AH421" s="1"/>
      <c r="AI421" s="1"/>
      <c r="AJ421" s="1"/>
      <c r="AK421" s="1"/>
      <c r="AL421" s="1"/>
      <c r="AM421" s="1"/>
      <c r="AN421" s="1"/>
      <c r="AO421" s="1"/>
      <c r="AP421" s="1"/>
      <c r="AQ421" s="1"/>
      <c r="AR421" s="1"/>
      <c r="AS421" s="1"/>
      <c r="AT421" s="1"/>
      <c r="AU421" s="1"/>
      <c r="AV421" s="1"/>
      <c r="AW421" s="1"/>
    </row>
    <row r="422" spans="1:49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  <c r="AB422" s="1"/>
      <c r="AC422" s="1"/>
      <c r="AD422" s="1"/>
      <c r="AE422" s="1"/>
      <c r="AF422" s="1"/>
      <c r="AG422" s="1"/>
      <c r="AH422" s="1"/>
      <c r="AI422" s="1"/>
      <c r="AJ422" s="1"/>
      <c r="AK422" s="1"/>
      <c r="AL422" s="1"/>
      <c r="AM422" s="1"/>
      <c r="AN422" s="1"/>
      <c r="AO422" s="1"/>
      <c r="AP422" s="1"/>
      <c r="AQ422" s="1"/>
      <c r="AR422" s="1"/>
      <c r="AS422" s="1"/>
      <c r="AT422" s="1"/>
      <c r="AU422" s="1"/>
      <c r="AV422" s="1"/>
      <c r="AW422" s="1"/>
    </row>
    <row r="423" spans="1:49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  <c r="AB423" s="1"/>
      <c r="AC423" s="1"/>
      <c r="AD423" s="1"/>
      <c r="AE423" s="1"/>
      <c r="AF423" s="1"/>
      <c r="AG423" s="1"/>
      <c r="AH423" s="1"/>
      <c r="AI423" s="1"/>
      <c r="AJ423" s="1"/>
      <c r="AK423" s="1"/>
      <c r="AL423" s="1"/>
      <c r="AM423" s="1"/>
      <c r="AN423" s="1"/>
      <c r="AO423" s="1"/>
      <c r="AP423" s="1"/>
      <c r="AQ423" s="1"/>
      <c r="AR423" s="1"/>
      <c r="AS423" s="1"/>
      <c r="AT423" s="1"/>
      <c r="AU423" s="1"/>
      <c r="AV423" s="1"/>
      <c r="AW423" s="1"/>
    </row>
    <row r="424" spans="1:49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  <c r="AB424" s="1"/>
      <c r="AC424" s="1"/>
      <c r="AD424" s="1"/>
      <c r="AE424" s="1"/>
      <c r="AF424" s="1"/>
      <c r="AG424" s="1"/>
      <c r="AH424" s="1"/>
      <c r="AI424" s="1"/>
      <c r="AJ424" s="1"/>
      <c r="AK424" s="1"/>
      <c r="AL424" s="1"/>
      <c r="AM424" s="1"/>
      <c r="AN424" s="1"/>
      <c r="AO424" s="1"/>
      <c r="AP424" s="1"/>
      <c r="AQ424" s="1"/>
      <c r="AR424" s="1"/>
      <c r="AS424" s="1"/>
      <c r="AT424" s="1"/>
      <c r="AU424" s="1"/>
      <c r="AV424" s="1"/>
      <c r="AW424" s="1"/>
    </row>
    <row r="425" spans="1:49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  <c r="AB425" s="1"/>
      <c r="AC425" s="1"/>
      <c r="AD425" s="1"/>
      <c r="AE425" s="1"/>
      <c r="AF425" s="1"/>
      <c r="AG425" s="1"/>
      <c r="AH425" s="1"/>
      <c r="AI425" s="1"/>
      <c r="AJ425" s="1"/>
      <c r="AK425" s="1"/>
      <c r="AL425" s="1"/>
      <c r="AM425" s="1"/>
      <c r="AN425" s="1"/>
      <c r="AO425" s="1"/>
      <c r="AP425" s="1"/>
      <c r="AQ425" s="1"/>
      <c r="AR425" s="1"/>
      <c r="AS425" s="1"/>
      <c r="AT425" s="1"/>
      <c r="AU425" s="1"/>
      <c r="AV425" s="1"/>
      <c r="AW425" s="1"/>
    </row>
    <row r="426" spans="1:49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  <c r="AB426" s="1"/>
      <c r="AC426" s="1"/>
      <c r="AD426" s="1"/>
      <c r="AE426" s="1"/>
      <c r="AF426" s="1"/>
      <c r="AG426" s="1"/>
      <c r="AH426" s="1"/>
      <c r="AI426" s="1"/>
      <c r="AJ426" s="1"/>
      <c r="AK426" s="1"/>
      <c r="AL426" s="1"/>
      <c r="AM426" s="1"/>
      <c r="AN426" s="1"/>
      <c r="AO426" s="1"/>
      <c r="AP426" s="1"/>
      <c r="AQ426" s="1"/>
      <c r="AR426" s="1"/>
      <c r="AS426" s="1"/>
      <c r="AT426" s="1"/>
      <c r="AU426" s="1"/>
      <c r="AV426" s="1"/>
      <c r="AW426" s="1"/>
    </row>
    <row r="427" spans="1:49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  <c r="AB427" s="1"/>
      <c r="AC427" s="1"/>
      <c r="AD427" s="1"/>
      <c r="AE427" s="1"/>
      <c r="AF427" s="1"/>
      <c r="AG427" s="1"/>
      <c r="AH427" s="1"/>
      <c r="AI427" s="1"/>
      <c r="AJ427" s="1"/>
      <c r="AK427" s="1"/>
      <c r="AL427" s="1"/>
      <c r="AM427" s="1"/>
      <c r="AN427" s="1"/>
      <c r="AO427" s="1"/>
      <c r="AP427" s="1"/>
      <c r="AQ427" s="1"/>
      <c r="AR427" s="1"/>
      <c r="AS427" s="1"/>
      <c r="AT427" s="1"/>
      <c r="AU427" s="1"/>
      <c r="AV427" s="1"/>
      <c r="AW427" s="1"/>
    </row>
    <row r="428" spans="1:49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  <c r="AB428" s="1"/>
      <c r="AC428" s="1"/>
      <c r="AD428" s="1"/>
      <c r="AE428" s="1"/>
      <c r="AF428" s="1"/>
      <c r="AG428" s="1"/>
      <c r="AH428" s="1"/>
      <c r="AI428" s="1"/>
      <c r="AJ428" s="1"/>
      <c r="AK428" s="1"/>
      <c r="AL428" s="1"/>
      <c r="AM428" s="1"/>
      <c r="AN428" s="1"/>
      <c r="AO428" s="1"/>
      <c r="AP428" s="1"/>
      <c r="AQ428" s="1"/>
      <c r="AR428" s="1"/>
      <c r="AS428" s="1"/>
      <c r="AT428" s="1"/>
      <c r="AU428" s="1"/>
      <c r="AV428" s="1"/>
      <c r="AW428" s="1"/>
    </row>
    <row r="429" spans="1:49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  <c r="AB429" s="1"/>
      <c r="AC429" s="1"/>
      <c r="AD429" s="1"/>
      <c r="AE429" s="1"/>
      <c r="AF429" s="1"/>
      <c r="AG429" s="1"/>
      <c r="AH429" s="1"/>
      <c r="AI429" s="1"/>
      <c r="AJ429" s="1"/>
      <c r="AK429" s="1"/>
      <c r="AL429" s="1"/>
      <c r="AM429" s="1"/>
      <c r="AN429" s="1"/>
      <c r="AO429" s="1"/>
      <c r="AP429" s="1"/>
      <c r="AQ429" s="1"/>
      <c r="AR429" s="1"/>
      <c r="AS429" s="1"/>
      <c r="AT429" s="1"/>
      <c r="AU429" s="1"/>
      <c r="AV429" s="1"/>
      <c r="AW429" s="1"/>
    </row>
    <row r="430" spans="1:49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  <c r="AB430" s="1"/>
      <c r="AC430" s="1"/>
      <c r="AD430" s="1"/>
      <c r="AE430" s="1"/>
      <c r="AF430" s="1"/>
      <c r="AG430" s="1"/>
      <c r="AH430" s="1"/>
      <c r="AI430" s="1"/>
      <c r="AJ430" s="1"/>
      <c r="AK430" s="1"/>
      <c r="AL430" s="1"/>
      <c r="AM430" s="1"/>
      <c r="AN430" s="1"/>
      <c r="AO430" s="1"/>
      <c r="AP430" s="1"/>
      <c r="AQ430" s="1"/>
      <c r="AR430" s="1"/>
      <c r="AS430" s="1"/>
      <c r="AT430" s="1"/>
      <c r="AU430" s="1"/>
      <c r="AV430" s="1"/>
      <c r="AW430" s="1"/>
    </row>
    <row r="431" spans="1:49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  <c r="AB431" s="1"/>
      <c r="AC431" s="1"/>
      <c r="AD431" s="1"/>
      <c r="AE431" s="1"/>
      <c r="AF431" s="1"/>
      <c r="AG431" s="1"/>
      <c r="AH431" s="1"/>
      <c r="AI431" s="1"/>
      <c r="AJ431" s="1"/>
      <c r="AK431" s="1"/>
      <c r="AL431" s="1"/>
      <c r="AM431" s="1"/>
      <c r="AN431" s="1"/>
      <c r="AO431" s="1"/>
      <c r="AP431" s="1"/>
      <c r="AQ431" s="1"/>
      <c r="AR431" s="1"/>
      <c r="AS431" s="1"/>
      <c r="AT431" s="1"/>
      <c r="AU431" s="1"/>
      <c r="AV431" s="1"/>
      <c r="AW431" s="1"/>
    </row>
    <row r="432" spans="1:49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  <c r="AB432" s="1"/>
      <c r="AC432" s="1"/>
      <c r="AD432" s="1"/>
      <c r="AE432" s="1"/>
      <c r="AF432" s="1"/>
      <c r="AG432" s="1"/>
      <c r="AH432" s="1"/>
      <c r="AI432" s="1"/>
      <c r="AJ432" s="1"/>
      <c r="AK432" s="1"/>
      <c r="AL432" s="1"/>
      <c r="AM432" s="1"/>
      <c r="AN432" s="1"/>
      <c r="AO432" s="1"/>
      <c r="AP432" s="1"/>
      <c r="AQ432" s="1"/>
      <c r="AR432" s="1"/>
      <c r="AS432" s="1"/>
      <c r="AT432" s="1"/>
      <c r="AU432" s="1"/>
      <c r="AV432" s="1"/>
      <c r="AW432" s="1"/>
    </row>
    <row r="433" spans="1:49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  <c r="AB433" s="1"/>
      <c r="AC433" s="1"/>
      <c r="AD433" s="1"/>
      <c r="AE433" s="1"/>
      <c r="AF433" s="1"/>
      <c r="AG433" s="1"/>
      <c r="AH433" s="1"/>
      <c r="AI433" s="1"/>
      <c r="AJ433" s="1"/>
      <c r="AK433" s="1"/>
      <c r="AL433" s="1"/>
      <c r="AM433" s="1"/>
      <c r="AN433" s="1"/>
      <c r="AO433" s="1"/>
      <c r="AP433" s="1"/>
      <c r="AQ433" s="1"/>
      <c r="AR433" s="1"/>
      <c r="AS433" s="1"/>
      <c r="AT433" s="1"/>
      <c r="AU433" s="1"/>
      <c r="AV433" s="1"/>
      <c r="AW433" s="1"/>
    </row>
    <row r="434" spans="1:49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  <c r="AB434" s="1"/>
      <c r="AC434" s="1"/>
      <c r="AD434" s="1"/>
      <c r="AE434" s="1"/>
      <c r="AF434" s="1"/>
      <c r="AG434" s="1"/>
      <c r="AH434" s="1"/>
      <c r="AI434" s="1"/>
      <c r="AJ434" s="1"/>
      <c r="AK434" s="1"/>
      <c r="AL434" s="1"/>
      <c r="AM434" s="1"/>
      <c r="AN434" s="1"/>
      <c r="AO434" s="1"/>
      <c r="AP434" s="1"/>
      <c r="AQ434" s="1"/>
      <c r="AR434" s="1"/>
      <c r="AS434" s="1"/>
      <c r="AT434" s="1"/>
      <c r="AU434" s="1"/>
      <c r="AV434" s="1"/>
      <c r="AW434" s="1"/>
    </row>
    <row r="435" spans="1:49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  <c r="AB435" s="1"/>
      <c r="AC435" s="1"/>
      <c r="AD435" s="1"/>
      <c r="AE435" s="1"/>
      <c r="AF435" s="1"/>
      <c r="AG435" s="1"/>
      <c r="AH435" s="1"/>
      <c r="AI435" s="1"/>
      <c r="AJ435" s="1"/>
      <c r="AK435" s="1"/>
      <c r="AL435" s="1"/>
      <c r="AM435" s="1"/>
      <c r="AN435" s="1"/>
      <c r="AO435" s="1"/>
      <c r="AP435" s="1"/>
      <c r="AQ435" s="1"/>
      <c r="AR435" s="1"/>
      <c r="AS435" s="1"/>
      <c r="AT435" s="1"/>
      <c r="AU435" s="1"/>
      <c r="AV435" s="1"/>
      <c r="AW435" s="1"/>
    </row>
    <row r="436" spans="1:49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  <c r="AB436" s="1"/>
      <c r="AC436" s="1"/>
      <c r="AD436" s="1"/>
      <c r="AE436" s="1"/>
      <c r="AF436" s="1"/>
      <c r="AG436" s="1"/>
      <c r="AH436" s="1"/>
      <c r="AI436" s="1"/>
      <c r="AJ436" s="1"/>
      <c r="AK436" s="1"/>
      <c r="AL436" s="1"/>
      <c r="AM436" s="1"/>
      <c r="AN436" s="1"/>
      <c r="AO436" s="1"/>
      <c r="AP436" s="1"/>
      <c r="AQ436" s="1"/>
      <c r="AR436" s="1"/>
      <c r="AS436" s="1"/>
      <c r="AT436" s="1"/>
      <c r="AU436" s="1"/>
      <c r="AV436" s="1"/>
      <c r="AW436" s="1"/>
    </row>
    <row r="437" spans="1:49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  <c r="AB437" s="1"/>
      <c r="AC437" s="1"/>
      <c r="AD437" s="1"/>
      <c r="AE437" s="1"/>
      <c r="AF437" s="1"/>
      <c r="AG437" s="1"/>
      <c r="AH437" s="1"/>
      <c r="AI437" s="1"/>
      <c r="AJ437" s="1"/>
      <c r="AK437" s="1"/>
      <c r="AL437" s="1"/>
      <c r="AM437" s="1"/>
      <c r="AN437" s="1"/>
      <c r="AO437" s="1"/>
      <c r="AP437" s="1"/>
      <c r="AQ437" s="1"/>
      <c r="AR437" s="1"/>
      <c r="AS437" s="1"/>
      <c r="AT437" s="1"/>
      <c r="AU437" s="1"/>
      <c r="AV437" s="1"/>
      <c r="AW437" s="1"/>
    </row>
    <row r="438" spans="1:49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  <c r="AB438" s="1"/>
      <c r="AC438" s="1"/>
      <c r="AD438" s="1"/>
      <c r="AE438" s="1"/>
      <c r="AF438" s="1"/>
      <c r="AG438" s="1"/>
      <c r="AH438" s="1"/>
      <c r="AI438" s="1"/>
      <c r="AJ438" s="1"/>
      <c r="AK438" s="1"/>
      <c r="AL438" s="1"/>
      <c r="AM438" s="1"/>
      <c r="AN438" s="1"/>
      <c r="AO438" s="1"/>
      <c r="AP438" s="1"/>
      <c r="AQ438" s="1"/>
      <c r="AR438" s="1"/>
      <c r="AS438" s="1"/>
      <c r="AT438" s="1"/>
      <c r="AU438" s="1"/>
      <c r="AV438" s="1"/>
      <c r="AW438" s="1"/>
    </row>
    <row r="439" spans="1:49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  <c r="AB439" s="1"/>
      <c r="AC439" s="1"/>
      <c r="AD439" s="1"/>
      <c r="AE439" s="1"/>
      <c r="AF439" s="1"/>
      <c r="AG439" s="1"/>
      <c r="AH439" s="1"/>
      <c r="AI439" s="1"/>
      <c r="AJ439" s="1"/>
      <c r="AK439" s="1"/>
      <c r="AL439" s="1"/>
      <c r="AM439" s="1"/>
      <c r="AN439" s="1"/>
      <c r="AO439" s="1"/>
      <c r="AP439" s="1"/>
      <c r="AQ439" s="1"/>
      <c r="AR439" s="1"/>
      <c r="AS439" s="1"/>
      <c r="AT439" s="1"/>
      <c r="AU439" s="1"/>
      <c r="AV439" s="1"/>
      <c r="AW439" s="1"/>
    </row>
    <row r="440" spans="1:49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  <c r="AB440" s="1"/>
      <c r="AC440" s="1"/>
      <c r="AD440" s="1"/>
      <c r="AE440" s="1"/>
      <c r="AF440" s="1"/>
      <c r="AG440" s="1"/>
      <c r="AH440" s="1"/>
      <c r="AI440" s="1"/>
      <c r="AJ440" s="1"/>
      <c r="AK440" s="1"/>
      <c r="AL440" s="1"/>
      <c r="AM440" s="1"/>
      <c r="AN440" s="1"/>
      <c r="AO440" s="1"/>
      <c r="AP440" s="1"/>
      <c r="AQ440" s="1"/>
      <c r="AR440" s="1"/>
      <c r="AS440" s="1"/>
      <c r="AT440" s="1"/>
      <c r="AU440" s="1"/>
      <c r="AV440" s="1"/>
      <c r="AW440" s="1"/>
    </row>
    <row r="441" spans="1:49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  <c r="AB441" s="1"/>
      <c r="AC441" s="1"/>
      <c r="AD441" s="1"/>
      <c r="AE441" s="1"/>
      <c r="AF441" s="1"/>
      <c r="AG441" s="1"/>
      <c r="AH441" s="1"/>
      <c r="AI441" s="1"/>
      <c r="AJ441" s="1"/>
      <c r="AK441" s="1"/>
      <c r="AL441" s="1"/>
      <c r="AM441" s="1"/>
      <c r="AN441" s="1"/>
      <c r="AO441" s="1"/>
      <c r="AP441" s="1"/>
      <c r="AQ441" s="1"/>
      <c r="AR441" s="1"/>
      <c r="AS441" s="1"/>
      <c r="AT441" s="1"/>
      <c r="AU441" s="1"/>
      <c r="AV441" s="1"/>
      <c r="AW441" s="1"/>
    </row>
    <row r="442" spans="1:49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  <c r="AB442" s="1"/>
      <c r="AC442" s="1"/>
      <c r="AD442" s="1"/>
      <c r="AE442" s="1"/>
      <c r="AF442" s="1"/>
      <c r="AG442" s="1"/>
      <c r="AH442" s="1"/>
      <c r="AI442" s="1"/>
      <c r="AJ442" s="1"/>
      <c r="AK442" s="1"/>
      <c r="AL442" s="1"/>
      <c r="AM442" s="1"/>
      <c r="AN442" s="1"/>
      <c r="AO442" s="1"/>
      <c r="AP442" s="1"/>
      <c r="AQ442" s="1"/>
      <c r="AR442" s="1"/>
      <c r="AS442" s="1"/>
      <c r="AT442" s="1"/>
      <c r="AU442" s="1"/>
      <c r="AV442" s="1"/>
      <c r="AW442" s="1"/>
    </row>
    <row r="443" spans="1:49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  <c r="AB443" s="1"/>
      <c r="AC443" s="1"/>
      <c r="AD443" s="1"/>
      <c r="AE443" s="1"/>
      <c r="AF443" s="1"/>
      <c r="AG443" s="1"/>
      <c r="AH443" s="1"/>
      <c r="AI443" s="1"/>
      <c r="AJ443" s="1"/>
      <c r="AK443" s="1"/>
      <c r="AL443" s="1"/>
      <c r="AM443" s="1"/>
      <c r="AN443" s="1"/>
      <c r="AO443" s="1"/>
      <c r="AP443" s="1"/>
      <c r="AQ443" s="1"/>
      <c r="AR443" s="1"/>
      <c r="AS443" s="1"/>
      <c r="AT443" s="1"/>
      <c r="AU443" s="1"/>
      <c r="AV443" s="1"/>
      <c r="AW443" s="1"/>
    </row>
    <row r="444" spans="1:49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  <c r="AB444" s="1"/>
      <c r="AC444" s="1"/>
      <c r="AD444" s="1"/>
      <c r="AE444" s="1"/>
      <c r="AF444" s="1"/>
      <c r="AG444" s="1"/>
      <c r="AH444" s="1"/>
      <c r="AI444" s="1"/>
      <c r="AJ444" s="1"/>
      <c r="AK444" s="1"/>
      <c r="AL444" s="1"/>
      <c r="AM444" s="1"/>
      <c r="AN444" s="1"/>
      <c r="AO444" s="1"/>
      <c r="AP444" s="1"/>
      <c r="AQ444" s="1"/>
      <c r="AR444" s="1"/>
      <c r="AS444" s="1"/>
      <c r="AT444" s="1"/>
      <c r="AU444" s="1"/>
      <c r="AV444" s="1"/>
      <c r="AW444" s="1"/>
    </row>
    <row r="445" spans="1:49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  <c r="AB445" s="1"/>
      <c r="AC445" s="1"/>
      <c r="AD445" s="1"/>
      <c r="AE445" s="1"/>
      <c r="AF445" s="1"/>
      <c r="AG445" s="1"/>
      <c r="AH445" s="1"/>
      <c r="AI445" s="1"/>
      <c r="AJ445" s="1"/>
      <c r="AK445" s="1"/>
      <c r="AL445" s="1"/>
      <c r="AM445" s="1"/>
      <c r="AN445" s="1"/>
      <c r="AO445" s="1"/>
      <c r="AP445" s="1"/>
      <c r="AQ445" s="1"/>
      <c r="AR445" s="1"/>
      <c r="AS445" s="1"/>
      <c r="AT445" s="1"/>
      <c r="AU445" s="1"/>
      <c r="AV445" s="1"/>
      <c r="AW445" s="1"/>
    </row>
    <row r="446" spans="1:49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  <c r="AB446" s="1"/>
      <c r="AC446" s="1"/>
      <c r="AD446" s="1"/>
      <c r="AE446" s="1"/>
      <c r="AF446" s="1"/>
      <c r="AG446" s="1"/>
      <c r="AH446" s="1"/>
      <c r="AI446" s="1"/>
      <c r="AJ446" s="1"/>
      <c r="AK446" s="1"/>
      <c r="AL446" s="1"/>
      <c r="AM446" s="1"/>
      <c r="AN446" s="1"/>
      <c r="AO446" s="1"/>
      <c r="AP446" s="1"/>
      <c r="AQ446" s="1"/>
      <c r="AR446" s="1"/>
      <c r="AS446" s="1"/>
      <c r="AT446" s="1"/>
      <c r="AU446" s="1"/>
      <c r="AV446" s="1"/>
      <c r="AW446" s="1"/>
    </row>
    <row r="447" spans="1:49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  <c r="AB447" s="1"/>
      <c r="AC447" s="1"/>
      <c r="AD447" s="1"/>
      <c r="AE447" s="1"/>
      <c r="AF447" s="1"/>
      <c r="AG447" s="1"/>
      <c r="AH447" s="1"/>
      <c r="AI447" s="1"/>
      <c r="AJ447" s="1"/>
      <c r="AK447" s="1"/>
      <c r="AL447" s="1"/>
      <c r="AM447" s="1"/>
      <c r="AN447" s="1"/>
      <c r="AO447" s="1"/>
      <c r="AP447" s="1"/>
      <c r="AQ447" s="1"/>
      <c r="AR447" s="1"/>
      <c r="AS447" s="1"/>
      <c r="AT447" s="1"/>
      <c r="AU447" s="1"/>
      <c r="AV447" s="1"/>
      <c r="AW447" s="1"/>
    </row>
    <row r="448" spans="1:49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  <c r="AB448" s="1"/>
      <c r="AC448" s="1"/>
      <c r="AD448" s="1"/>
      <c r="AE448" s="1"/>
      <c r="AF448" s="1"/>
      <c r="AG448" s="1"/>
      <c r="AH448" s="1"/>
      <c r="AI448" s="1"/>
      <c r="AJ448" s="1"/>
      <c r="AK448" s="1"/>
      <c r="AL448" s="1"/>
      <c r="AM448" s="1"/>
      <c r="AN448" s="1"/>
      <c r="AO448" s="1"/>
      <c r="AP448" s="1"/>
      <c r="AQ448" s="1"/>
      <c r="AR448" s="1"/>
      <c r="AS448" s="1"/>
      <c r="AT448" s="1"/>
      <c r="AU448" s="1"/>
      <c r="AV448" s="1"/>
      <c r="AW448" s="1"/>
    </row>
    <row r="449" spans="1:49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  <c r="AB449" s="1"/>
      <c r="AC449" s="1"/>
      <c r="AD449" s="1"/>
      <c r="AE449" s="1"/>
      <c r="AF449" s="1"/>
      <c r="AG449" s="1"/>
      <c r="AH449" s="1"/>
      <c r="AI449" s="1"/>
      <c r="AJ449" s="1"/>
      <c r="AK449" s="1"/>
      <c r="AL449" s="1"/>
      <c r="AM449" s="1"/>
      <c r="AN449" s="1"/>
      <c r="AO449" s="1"/>
      <c r="AP449" s="1"/>
      <c r="AQ449" s="1"/>
      <c r="AR449" s="1"/>
      <c r="AS449" s="1"/>
      <c r="AT449" s="1"/>
      <c r="AU449" s="1"/>
      <c r="AV449" s="1"/>
      <c r="AW449" s="1"/>
    </row>
    <row r="450" spans="1:49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  <c r="AB450" s="1"/>
      <c r="AC450" s="1"/>
      <c r="AD450" s="1"/>
      <c r="AE450" s="1"/>
      <c r="AF450" s="1"/>
      <c r="AG450" s="1"/>
      <c r="AH450" s="1"/>
      <c r="AI450" s="1"/>
      <c r="AJ450" s="1"/>
      <c r="AK450" s="1"/>
      <c r="AL450" s="1"/>
      <c r="AM450" s="1"/>
      <c r="AN450" s="1"/>
      <c r="AO450" s="1"/>
      <c r="AP450" s="1"/>
      <c r="AQ450" s="1"/>
      <c r="AR450" s="1"/>
      <c r="AS450" s="1"/>
      <c r="AT450" s="1"/>
      <c r="AU450" s="1"/>
      <c r="AV450" s="1"/>
      <c r="AW450" s="1"/>
    </row>
    <row r="451" spans="1:49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  <c r="AB451" s="1"/>
      <c r="AC451" s="1"/>
      <c r="AD451" s="1"/>
      <c r="AE451" s="1"/>
      <c r="AF451" s="1"/>
      <c r="AG451" s="1"/>
      <c r="AH451" s="1"/>
      <c r="AI451" s="1"/>
      <c r="AJ451" s="1"/>
      <c r="AK451" s="1"/>
      <c r="AL451" s="1"/>
      <c r="AM451" s="1"/>
      <c r="AN451" s="1"/>
      <c r="AO451" s="1"/>
      <c r="AP451" s="1"/>
      <c r="AQ451" s="1"/>
      <c r="AR451" s="1"/>
      <c r="AS451" s="1"/>
      <c r="AT451" s="1"/>
      <c r="AU451" s="1"/>
      <c r="AV451" s="1"/>
      <c r="AW451" s="1"/>
    </row>
    <row r="452" spans="1:49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  <c r="AB452" s="1"/>
      <c r="AC452" s="1"/>
      <c r="AD452" s="1"/>
      <c r="AE452" s="1"/>
      <c r="AF452" s="1"/>
      <c r="AG452" s="1"/>
      <c r="AH452" s="1"/>
      <c r="AI452" s="1"/>
      <c r="AJ452" s="1"/>
      <c r="AK452" s="1"/>
      <c r="AL452" s="1"/>
      <c r="AM452" s="1"/>
      <c r="AN452" s="1"/>
      <c r="AO452" s="1"/>
      <c r="AP452" s="1"/>
      <c r="AQ452" s="1"/>
      <c r="AR452" s="1"/>
      <c r="AS452" s="1"/>
      <c r="AT452" s="1"/>
      <c r="AU452" s="1"/>
      <c r="AV452" s="1"/>
      <c r="AW452" s="1"/>
    </row>
    <row r="453" spans="1:49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  <c r="AB453" s="1"/>
      <c r="AC453" s="1"/>
      <c r="AD453" s="1"/>
      <c r="AE453" s="1"/>
      <c r="AF453" s="1"/>
      <c r="AG453" s="1"/>
      <c r="AH453" s="1"/>
      <c r="AI453" s="1"/>
      <c r="AJ453" s="1"/>
      <c r="AK453" s="1"/>
      <c r="AL453" s="1"/>
      <c r="AM453" s="1"/>
      <c r="AN453" s="1"/>
      <c r="AO453" s="1"/>
      <c r="AP453" s="1"/>
      <c r="AQ453" s="1"/>
      <c r="AR453" s="1"/>
      <c r="AS453" s="1"/>
      <c r="AT453" s="1"/>
      <c r="AU453" s="1"/>
      <c r="AV453" s="1"/>
      <c r="AW453" s="1"/>
    </row>
    <row r="454" spans="1:49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  <c r="AB454" s="1"/>
      <c r="AC454" s="1"/>
      <c r="AD454" s="1"/>
      <c r="AE454" s="1"/>
      <c r="AF454" s="1"/>
      <c r="AG454" s="1"/>
      <c r="AH454" s="1"/>
      <c r="AI454" s="1"/>
      <c r="AJ454" s="1"/>
      <c r="AK454" s="1"/>
      <c r="AL454" s="1"/>
      <c r="AM454" s="1"/>
      <c r="AN454" s="1"/>
      <c r="AO454" s="1"/>
      <c r="AP454" s="1"/>
      <c r="AQ454" s="1"/>
      <c r="AR454" s="1"/>
      <c r="AS454" s="1"/>
      <c r="AT454" s="1"/>
      <c r="AU454" s="1"/>
      <c r="AV454" s="1"/>
      <c r="AW454" s="1"/>
    </row>
    <row r="455" spans="1:49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  <c r="AB455" s="1"/>
      <c r="AC455" s="1"/>
      <c r="AD455" s="1"/>
      <c r="AE455" s="1"/>
      <c r="AF455" s="1"/>
      <c r="AG455" s="1"/>
      <c r="AH455" s="1"/>
      <c r="AI455" s="1"/>
      <c r="AJ455" s="1"/>
      <c r="AK455" s="1"/>
      <c r="AL455" s="1"/>
      <c r="AM455" s="1"/>
      <c r="AN455" s="1"/>
      <c r="AO455" s="1"/>
      <c r="AP455" s="1"/>
      <c r="AQ455" s="1"/>
      <c r="AR455" s="1"/>
      <c r="AS455" s="1"/>
      <c r="AT455" s="1"/>
      <c r="AU455" s="1"/>
      <c r="AV455" s="1"/>
      <c r="AW455" s="1"/>
    </row>
    <row r="456" spans="1:49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  <c r="AB456" s="1"/>
      <c r="AC456" s="1"/>
      <c r="AD456" s="1"/>
      <c r="AE456" s="1"/>
      <c r="AF456" s="1"/>
      <c r="AG456" s="1"/>
      <c r="AH456" s="1"/>
      <c r="AI456" s="1"/>
      <c r="AJ456" s="1"/>
      <c r="AK456" s="1"/>
      <c r="AL456" s="1"/>
      <c r="AM456" s="1"/>
      <c r="AN456" s="1"/>
      <c r="AO456" s="1"/>
      <c r="AP456" s="1"/>
      <c r="AQ456" s="1"/>
      <c r="AR456" s="1"/>
      <c r="AS456" s="1"/>
      <c r="AT456" s="1"/>
      <c r="AU456" s="1"/>
      <c r="AV456" s="1"/>
      <c r="AW456" s="1"/>
    </row>
    <row r="457" spans="1:49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  <c r="AB457" s="1"/>
      <c r="AC457" s="1"/>
      <c r="AD457" s="1"/>
      <c r="AE457" s="1"/>
      <c r="AF457" s="1"/>
      <c r="AG457" s="1"/>
      <c r="AH457" s="1"/>
      <c r="AI457" s="1"/>
      <c r="AJ457" s="1"/>
      <c r="AK457" s="1"/>
      <c r="AL457" s="1"/>
      <c r="AM457" s="1"/>
      <c r="AN457" s="1"/>
      <c r="AO457" s="1"/>
      <c r="AP457" s="1"/>
      <c r="AQ457" s="1"/>
      <c r="AR457" s="1"/>
      <c r="AS457" s="1"/>
      <c r="AT457" s="1"/>
      <c r="AU457" s="1"/>
      <c r="AV457" s="1"/>
      <c r="AW457" s="1"/>
    </row>
    <row r="458" spans="1:49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  <c r="AB458" s="1"/>
      <c r="AC458" s="1"/>
      <c r="AD458" s="1"/>
      <c r="AE458" s="1"/>
      <c r="AF458" s="1"/>
      <c r="AG458" s="1"/>
      <c r="AH458" s="1"/>
      <c r="AI458" s="1"/>
      <c r="AJ458" s="1"/>
      <c r="AK458" s="1"/>
      <c r="AL458" s="1"/>
      <c r="AM458" s="1"/>
      <c r="AN458" s="1"/>
      <c r="AO458" s="1"/>
      <c r="AP458" s="1"/>
      <c r="AQ458" s="1"/>
      <c r="AR458" s="1"/>
      <c r="AS458" s="1"/>
      <c r="AT458" s="1"/>
      <c r="AU458" s="1"/>
      <c r="AV458" s="1"/>
      <c r="AW458" s="1"/>
    </row>
    <row r="459" spans="1:49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  <c r="AB459" s="1"/>
      <c r="AC459" s="1"/>
      <c r="AD459" s="1"/>
      <c r="AE459" s="1"/>
      <c r="AF459" s="1"/>
      <c r="AG459" s="1"/>
      <c r="AH459" s="1"/>
      <c r="AI459" s="1"/>
      <c r="AJ459" s="1"/>
      <c r="AK459" s="1"/>
      <c r="AL459" s="1"/>
      <c r="AM459" s="1"/>
      <c r="AN459" s="1"/>
      <c r="AO459" s="1"/>
      <c r="AP459" s="1"/>
      <c r="AQ459" s="1"/>
      <c r="AR459" s="1"/>
      <c r="AS459" s="1"/>
      <c r="AT459" s="1"/>
      <c r="AU459" s="1"/>
      <c r="AV459" s="1"/>
      <c r="AW459" s="1"/>
    </row>
    <row r="460" spans="1:49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  <c r="AB460" s="1"/>
      <c r="AC460" s="1"/>
      <c r="AD460" s="1"/>
      <c r="AE460" s="1"/>
      <c r="AF460" s="1"/>
      <c r="AG460" s="1"/>
      <c r="AH460" s="1"/>
      <c r="AI460" s="1"/>
      <c r="AJ460" s="1"/>
      <c r="AK460" s="1"/>
      <c r="AL460" s="1"/>
      <c r="AM460" s="1"/>
      <c r="AN460" s="1"/>
      <c r="AO460" s="1"/>
      <c r="AP460" s="1"/>
      <c r="AQ460" s="1"/>
      <c r="AR460" s="1"/>
      <c r="AS460" s="1"/>
      <c r="AT460" s="1"/>
      <c r="AU460" s="1"/>
      <c r="AV460" s="1"/>
      <c r="AW460" s="1"/>
    </row>
    <row r="461" spans="1:49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  <c r="AB461" s="1"/>
      <c r="AC461" s="1"/>
      <c r="AD461" s="1"/>
      <c r="AE461" s="1"/>
      <c r="AF461" s="1"/>
      <c r="AG461" s="1"/>
      <c r="AH461" s="1"/>
      <c r="AI461" s="1"/>
      <c r="AJ461" s="1"/>
      <c r="AK461" s="1"/>
      <c r="AL461" s="1"/>
      <c r="AM461" s="1"/>
      <c r="AN461" s="1"/>
      <c r="AO461" s="1"/>
      <c r="AP461" s="1"/>
      <c r="AQ461" s="1"/>
      <c r="AR461" s="1"/>
      <c r="AS461" s="1"/>
      <c r="AT461" s="1"/>
      <c r="AU461" s="1"/>
      <c r="AV461" s="1"/>
      <c r="AW461" s="1"/>
    </row>
    <row r="462" spans="1:49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  <c r="AB462" s="1"/>
      <c r="AC462" s="1"/>
      <c r="AD462" s="1"/>
      <c r="AE462" s="1"/>
      <c r="AF462" s="1"/>
      <c r="AG462" s="1"/>
      <c r="AH462" s="1"/>
      <c r="AI462" s="1"/>
      <c r="AJ462" s="1"/>
      <c r="AK462" s="1"/>
      <c r="AL462" s="1"/>
      <c r="AM462" s="1"/>
      <c r="AN462" s="1"/>
      <c r="AO462" s="1"/>
      <c r="AP462" s="1"/>
      <c r="AQ462" s="1"/>
      <c r="AR462" s="1"/>
      <c r="AS462" s="1"/>
      <c r="AT462" s="1"/>
      <c r="AU462" s="1"/>
      <c r="AV462" s="1"/>
      <c r="AW462" s="1"/>
    </row>
    <row r="463" spans="1:49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  <c r="AB463" s="1"/>
      <c r="AC463" s="1"/>
      <c r="AD463" s="1"/>
      <c r="AE463" s="1"/>
      <c r="AF463" s="1"/>
      <c r="AG463" s="1"/>
      <c r="AH463" s="1"/>
      <c r="AI463" s="1"/>
      <c r="AJ463" s="1"/>
      <c r="AK463" s="1"/>
      <c r="AL463" s="1"/>
      <c r="AM463" s="1"/>
      <c r="AN463" s="1"/>
      <c r="AO463" s="1"/>
      <c r="AP463" s="1"/>
      <c r="AQ463" s="1"/>
      <c r="AR463" s="1"/>
      <c r="AS463" s="1"/>
      <c r="AT463" s="1"/>
      <c r="AU463" s="1"/>
      <c r="AV463" s="1"/>
      <c r="AW463" s="1"/>
    </row>
    <row r="464" spans="1:49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  <c r="AB464" s="1"/>
      <c r="AC464" s="1"/>
      <c r="AD464" s="1"/>
      <c r="AE464" s="1"/>
      <c r="AF464" s="1"/>
      <c r="AG464" s="1"/>
      <c r="AH464" s="1"/>
      <c r="AI464" s="1"/>
      <c r="AJ464" s="1"/>
      <c r="AK464" s="1"/>
      <c r="AL464" s="1"/>
      <c r="AM464" s="1"/>
      <c r="AN464" s="1"/>
      <c r="AO464" s="1"/>
      <c r="AP464" s="1"/>
      <c r="AQ464" s="1"/>
      <c r="AR464" s="1"/>
      <c r="AS464" s="1"/>
      <c r="AT464" s="1"/>
      <c r="AU464" s="1"/>
      <c r="AV464" s="1"/>
      <c r="AW464" s="1"/>
    </row>
    <row r="465" spans="1:49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  <c r="AB465" s="1"/>
      <c r="AC465" s="1"/>
      <c r="AD465" s="1"/>
      <c r="AE465" s="1"/>
      <c r="AF465" s="1"/>
      <c r="AG465" s="1"/>
      <c r="AH465" s="1"/>
      <c r="AI465" s="1"/>
      <c r="AJ465" s="1"/>
      <c r="AK465" s="1"/>
      <c r="AL465" s="1"/>
      <c r="AM465" s="1"/>
      <c r="AN465" s="1"/>
      <c r="AO465" s="1"/>
      <c r="AP465" s="1"/>
      <c r="AQ465" s="1"/>
      <c r="AR465" s="1"/>
      <c r="AS465" s="1"/>
      <c r="AT465" s="1"/>
      <c r="AU465" s="1"/>
      <c r="AV465" s="1"/>
      <c r="AW465" s="1"/>
    </row>
    <row r="466" spans="1:49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  <c r="AB466" s="1"/>
      <c r="AC466" s="1"/>
      <c r="AD466" s="1"/>
      <c r="AE466" s="1"/>
      <c r="AF466" s="1"/>
      <c r="AG466" s="1"/>
      <c r="AH466" s="1"/>
      <c r="AI466" s="1"/>
      <c r="AJ466" s="1"/>
      <c r="AK466" s="1"/>
      <c r="AL466" s="1"/>
      <c r="AM466" s="1"/>
      <c r="AN466" s="1"/>
      <c r="AO466" s="1"/>
      <c r="AP466" s="1"/>
      <c r="AQ466" s="1"/>
      <c r="AR466" s="1"/>
      <c r="AS466" s="1"/>
      <c r="AT466" s="1"/>
      <c r="AU466" s="1"/>
      <c r="AV466" s="1"/>
      <c r="AW466" s="1"/>
    </row>
    <row r="467" spans="1:49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  <c r="AB467" s="1"/>
      <c r="AC467" s="1"/>
      <c r="AD467" s="1"/>
      <c r="AE467" s="1"/>
      <c r="AF467" s="1"/>
      <c r="AG467" s="1"/>
      <c r="AH467" s="1"/>
      <c r="AI467" s="1"/>
      <c r="AJ467" s="1"/>
      <c r="AK467" s="1"/>
      <c r="AL467" s="1"/>
      <c r="AM467" s="1"/>
      <c r="AN467" s="1"/>
      <c r="AO467" s="1"/>
      <c r="AP467" s="1"/>
      <c r="AQ467" s="1"/>
      <c r="AR467" s="1"/>
      <c r="AS467" s="1"/>
      <c r="AT467" s="1"/>
      <c r="AU467" s="1"/>
      <c r="AV467" s="1"/>
      <c r="AW467" s="1"/>
    </row>
    <row r="468" spans="1:49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  <c r="AB468" s="1"/>
      <c r="AC468" s="1"/>
      <c r="AD468" s="1"/>
      <c r="AE468" s="1"/>
      <c r="AF468" s="1"/>
      <c r="AG468" s="1"/>
      <c r="AH468" s="1"/>
      <c r="AI468" s="1"/>
      <c r="AJ468" s="1"/>
      <c r="AK468" s="1"/>
      <c r="AL468" s="1"/>
      <c r="AM468" s="1"/>
      <c r="AN468" s="1"/>
      <c r="AO468" s="1"/>
      <c r="AP468" s="1"/>
      <c r="AQ468" s="1"/>
      <c r="AR468" s="1"/>
      <c r="AS468" s="1"/>
      <c r="AT468" s="1"/>
      <c r="AU468" s="1"/>
      <c r="AV468" s="1"/>
      <c r="AW468" s="1"/>
    </row>
    <row r="469" spans="1:49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  <c r="AB469" s="1"/>
      <c r="AC469" s="1"/>
      <c r="AD469" s="1"/>
      <c r="AE469" s="1"/>
      <c r="AF469" s="1"/>
      <c r="AG469" s="1"/>
      <c r="AH469" s="1"/>
      <c r="AI469" s="1"/>
      <c r="AJ469" s="1"/>
      <c r="AK469" s="1"/>
      <c r="AL469" s="1"/>
      <c r="AM469" s="1"/>
      <c r="AN469" s="1"/>
      <c r="AO469" s="1"/>
      <c r="AP469" s="1"/>
      <c r="AQ469" s="1"/>
      <c r="AR469" s="1"/>
      <c r="AS469" s="1"/>
      <c r="AT469" s="1"/>
      <c r="AU469" s="1"/>
      <c r="AV469" s="1"/>
      <c r="AW469" s="1"/>
    </row>
    <row r="470" spans="1:49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  <c r="AB470" s="1"/>
      <c r="AC470" s="1"/>
      <c r="AD470" s="1"/>
      <c r="AE470" s="1"/>
      <c r="AF470" s="1"/>
      <c r="AG470" s="1"/>
      <c r="AH470" s="1"/>
      <c r="AI470" s="1"/>
      <c r="AJ470" s="1"/>
      <c r="AK470" s="1"/>
      <c r="AL470" s="1"/>
      <c r="AM470" s="1"/>
      <c r="AN470" s="1"/>
      <c r="AO470" s="1"/>
      <c r="AP470" s="1"/>
      <c r="AQ470" s="1"/>
      <c r="AR470" s="1"/>
      <c r="AS470" s="1"/>
      <c r="AT470" s="1"/>
      <c r="AU470" s="1"/>
      <c r="AV470" s="1"/>
      <c r="AW470" s="1"/>
    </row>
    <row r="471" spans="1:49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  <c r="AB471" s="1"/>
      <c r="AC471" s="1"/>
      <c r="AD471" s="1"/>
      <c r="AE471" s="1"/>
      <c r="AF471" s="1"/>
      <c r="AG471" s="1"/>
      <c r="AH471" s="1"/>
      <c r="AI471" s="1"/>
      <c r="AJ471" s="1"/>
      <c r="AK471" s="1"/>
      <c r="AL471" s="1"/>
      <c r="AM471" s="1"/>
      <c r="AN471" s="1"/>
      <c r="AO471" s="1"/>
      <c r="AP471" s="1"/>
      <c r="AQ471" s="1"/>
      <c r="AR471" s="1"/>
      <c r="AS471" s="1"/>
      <c r="AT471" s="1"/>
      <c r="AU471" s="1"/>
      <c r="AV471" s="1"/>
      <c r="AW471" s="1"/>
    </row>
    <row r="472" spans="1:49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  <c r="AB472" s="1"/>
      <c r="AC472" s="1"/>
      <c r="AD472" s="1"/>
      <c r="AE472" s="1"/>
      <c r="AF472" s="1"/>
      <c r="AG472" s="1"/>
      <c r="AH472" s="1"/>
      <c r="AI472" s="1"/>
      <c r="AJ472" s="1"/>
      <c r="AK472" s="1"/>
      <c r="AL472" s="1"/>
      <c r="AM472" s="1"/>
      <c r="AN472" s="1"/>
      <c r="AO472" s="1"/>
      <c r="AP472" s="1"/>
      <c r="AQ472" s="1"/>
      <c r="AR472" s="1"/>
      <c r="AS472" s="1"/>
      <c r="AT472" s="1"/>
      <c r="AU472" s="1"/>
      <c r="AV472" s="1"/>
      <c r="AW472" s="1"/>
    </row>
    <row r="473" spans="1:49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  <c r="AB473" s="1"/>
      <c r="AC473" s="1"/>
      <c r="AD473" s="1"/>
      <c r="AE473" s="1"/>
      <c r="AF473" s="1"/>
      <c r="AG473" s="1"/>
      <c r="AH473" s="1"/>
      <c r="AI473" s="1"/>
      <c r="AJ473" s="1"/>
      <c r="AK473" s="1"/>
      <c r="AL473" s="1"/>
      <c r="AM473" s="1"/>
      <c r="AN473" s="1"/>
      <c r="AO473" s="1"/>
      <c r="AP473" s="1"/>
      <c r="AQ473" s="1"/>
      <c r="AR473" s="1"/>
      <c r="AS473" s="1"/>
      <c r="AT473" s="1"/>
      <c r="AU473" s="1"/>
      <c r="AV473" s="1"/>
      <c r="AW473" s="1"/>
    </row>
    <row r="474" spans="1:49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  <c r="AB474" s="1"/>
      <c r="AC474" s="1"/>
      <c r="AD474" s="1"/>
      <c r="AE474" s="1"/>
      <c r="AF474" s="1"/>
      <c r="AG474" s="1"/>
      <c r="AH474" s="1"/>
      <c r="AI474" s="1"/>
      <c r="AJ474" s="1"/>
      <c r="AK474" s="1"/>
      <c r="AL474" s="1"/>
      <c r="AM474" s="1"/>
      <c r="AN474" s="1"/>
      <c r="AO474" s="1"/>
      <c r="AP474" s="1"/>
      <c r="AQ474" s="1"/>
      <c r="AR474" s="1"/>
      <c r="AS474" s="1"/>
      <c r="AT474" s="1"/>
      <c r="AU474" s="1"/>
      <c r="AV474" s="1"/>
      <c r="AW474" s="1"/>
    </row>
    <row r="475" spans="1:49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  <c r="AB475" s="1"/>
      <c r="AC475" s="1"/>
      <c r="AD475" s="1"/>
      <c r="AE475" s="1"/>
      <c r="AF475" s="1"/>
      <c r="AG475" s="1"/>
      <c r="AH475" s="1"/>
      <c r="AI475" s="1"/>
      <c r="AJ475" s="1"/>
      <c r="AK475" s="1"/>
      <c r="AL475" s="1"/>
      <c r="AM475" s="1"/>
      <c r="AN475" s="1"/>
      <c r="AO475" s="1"/>
      <c r="AP475" s="1"/>
      <c r="AQ475" s="1"/>
      <c r="AR475" s="1"/>
      <c r="AS475" s="1"/>
      <c r="AT475" s="1"/>
      <c r="AU475" s="1"/>
      <c r="AV475" s="1"/>
      <c r="AW475" s="1"/>
    </row>
    <row r="476" spans="1:49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  <c r="AB476" s="1"/>
      <c r="AC476" s="1"/>
      <c r="AD476" s="1"/>
      <c r="AE476" s="1"/>
      <c r="AF476" s="1"/>
      <c r="AG476" s="1"/>
      <c r="AH476" s="1"/>
      <c r="AI476" s="1"/>
      <c r="AJ476" s="1"/>
      <c r="AK476" s="1"/>
      <c r="AL476" s="1"/>
      <c r="AM476" s="1"/>
      <c r="AN476" s="1"/>
      <c r="AO476" s="1"/>
      <c r="AP476" s="1"/>
      <c r="AQ476" s="1"/>
      <c r="AR476" s="1"/>
      <c r="AS476" s="1"/>
      <c r="AT476" s="1"/>
      <c r="AU476" s="1"/>
      <c r="AV476" s="1"/>
      <c r="AW476" s="1"/>
    </row>
    <row r="477" spans="1:49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  <c r="AB477" s="1"/>
      <c r="AC477" s="1"/>
      <c r="AD477" s="1"/>
      <c r="AE477" s="1"/>
      <c r="AF477" s="1"/>
      <c r="AG477" s="1"/>
      <c r="AH477" s="1"/>
      <c r="AI477" s="1"/>
      <c r="AJ477" s="1"/>
      <c r="AK477" s="1"/>
      <c r="AL477" s="1"/>
      <c r="AM477" s="1"/>
      <c r="AN477" s="1"/>
      <c r="AO477" s="1"/>
      <c r="AP477" s="1"/>
      <c r="AQ477" s="1"/>
      <c r="AR477" s="1"/>
      <c r="AS477" s="1"/>
      <c r="AT477" s="1"/>
      <c r="AU477" s="1"/>
      <c r="AV477" s="1"/>
      <c r="AW477" s="1"/>
    </row>
    <row r="478" spans="1:49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  <c r="AB478" s="1"/>
      <c r="AC478" s="1"/>
      <c r="AD478" s="1"/>
      <c r="AE478" s="1"/>
      <c r="AF478" s="1"/>
      <c r="AG478" s="1"/>
      <c r="AH478" s="1"/>
      <c r="AI478" s="1"/>
      <c r="AJ478" s="1"/>
      <c r="AK478" s="1"/>
      <c r="AL478" s="1"/>
      <c r="AM478" s="1"/>
      <c r="AN478" s="1"/>
      <c r="AO478" s="1"/>
      <c r="AP478" s="1"/>
      <c r="AQ478" s="1"/>
      <c r="AR478" s="1"/>
      <c r="AS478" s="1"/>
      <c r="AT478" s="1"/>
      <c r="AU478" s="1"/>
      <c r="AV478" s="1"/>
      <c r="AW478" s="1"/>
    </row>
    <row r="479" spans="1:49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  <c r="AB479" s="1"/>
      <c r="AC479" s="1"/>
      <c r="AD479" s="1"/>
      <c r="AE479" s="1"/>
      <c r="AF479" s="1"/>
      <c r="AG479" s="1"/>
      <c r="AH479" s="1"/>
      <c r="AI479" s="1"/>
      <c r="AJ479" s="1"/>
      <c r="AK479" s="1"/>
      <c r="AL479" s="1"/>
      <c r="AM479" s="1"/>
      <c r="AN479" s="1"/>
      <c r="AO479" s="1"/>
      <c r="AP479" s="1"/>
      <c r="AQ479" s="1"/>
      <c r="AR479" s="1"/>
      <c r="AS479" s="1"/>
      <c r="AT479" s="1"/>
      <c r="AU479" s="1"/>
      <c r="AV479" s="1"/>
      <c r="AW479" s="1"/>
    </row>
    <row r="480" spans="1:49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  <c r="AB480" s="1"/>
      <c r="AC480" s="1"/>
      <c r="AD480" s="1"/>
      <c r="AE480" s="1"/>
      <c r="AF480" s="1"/>
      <c r="AG480" s="1"/>
      <c r="AH480" s="1"/>
      <c r="AI480" s="1"/>
      <c r="AJ480" s="1"/>
      <c r="AK480" s="1"/>
      <c r="AL480" s="1"/>
      <c r="AM480" s="1"/>
      <c r="AN480" s="1"/>
      <c r="AO480" s="1"/>
      <c r="AP480" s="1"/>
      <c r="AQ480" s="1"/>
      <c r="AR480" s="1"/>
      <c r="AS480" s="1"/>
      <c r="AT480" s="1"/>
      <c r="AU480" s="1"/>
      <c r="AV480" s="1"/>
      <c r="AW480" s="1"/>
    </row>
    <row r="481" spans="1:49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  <c r="AB481" s="1"/>
      <c r="AC481" s="1"/>
      <c r="AD481" s="1"/>
      <c r="AE481" s="1"/>
      <c r="AF481" s="1"/>
      <c r="AG481" s="1"/>
      <c r="AH481" s="1"/>
      <c r="AI481" s="1"/>
      <c r="AJ481" s="1"/>
      <c r="AK481" s="1"/>
      <c r="AL481" s="1"/>
      <c r="AM481" s="1"/>
      <c r="AN481" s="1"/>
      <c r="AO481" s="1"/>
      <c r="AP481" s="1"/>
      <c r="AQ481" s="1"/>
      <c r="AR481" s="1"/>
      <c r="AS481" s="1"/>
      <c r="AT481" s="1"/>
      <c r="AU481" s="1"/>
      <c r="AV481" s="1"/>
      <c r="AW481" s="1"/>
    </row>
    <row r="482" spans="1:49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  <c r="AB482" s="1"/>
      <c r="AC482" s="1"/>
      <c r="AD482" s="1"/>
      <c r="AE482" s="1"/>
      <c r="AF482" s="1"/>
      <c r="AG482" s="1"/>
      <c r="AH482" s="1"/>
      <c r="AI482" s="1"/>
      <c r="AJ482" s="1"/>
      <c r="AK482" s="1"/>
      <c r="AL482" s="1"/>
      <c r="AM482" s="1"/>
      <c r="AN482" s="1"/>
      <c r="AO482" s="1"/>
      <c r="AP482" s="1"/>
      <c r="AQ482" s="1"/>
      <c r="AR482" s="1"/>
      <c r="AS482" s="1"/>
      <c r="AT482" s="1"/>
      <c r="AU482" s="1"/>
      <c r="AV482" s="1"/>
      <c r="AW482" s="1"/>
    </row>
    <row r="483" spans="1:49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  <c r="AB483" s="1"/>
      <c r="AC483" s="1"/>
      <c r="AD483" s="1"/>
      <c r="AE483" s="1"/>
      <c r="AF483" s="1"/>
      <c r="AG483" s="1"/>
      <c r="AH483" s="1"/>
      <c r="AI483" s="1"/>
      <c r="AJ483" s="1"/>
      <c r="AK483" s="1"/>
      <c r="AL483" s="1"/>
      <c r="AM483" s="1"/>
      <c r="AN483" s="1"/>
      <c r="AO483" s="1"/>
      <c r="AP483" s="1"/>
      <c r="AQ483" s="1"/>
      <c r="AR483" s="1"/>
      <c r="AS483" s="1"/>
      <c r="AT483" s="1"/>
      <c r="AU483" s="1"/>
      <c r="AV483" s="1"/>
      <c r="AW483" s="1"/>
    </row>
    <row r="484" spans="1:49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  <c r="AB484" s="1"/>
      <c r="AC484" s="1"/>
      <c r="AD484" s="1"/>
      <c r="AE484" s="1"/>
      <c r="AF484" s="1"/>
      <c r="AG484" s="1"/>
      <c r="AH484" s="1"/>
      <c r="AI484" s="1"/>
      <c r="AJ484" s="1"/>
      <c r="AK484" s="1"/>
      <c r="AL484" s="1"/>
      <c r="AM484" s="1"/>
      <c r="AN484" s="1"/>
      <c r="AO484" s="1"/>
      <c r="AP484" s="1"/>
      <c r="AQ484" s="1"/>
      <c r="AR484" s="1"/>
      <c r="AS484" s="1"/>
      <c r="AT484" s="1"/>
      <c r="AU484" s="1"/>
      <c r="AV484" s="1"/>
      <c r="AW484" s="1"/>
    </row>
    <row r="485" spans="1:49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  <c r="AB485" s="1"/>
      <c r="AC485" s="1"/>
      <c r="AD485" s="1"/>
      <c r="AE485" s="1"/>
      <c r="AF485" s="1"/>
      <c r="AG485" s="1"/>
      <c r="AH485" s="1"/>
      <c r="AI485" s="1"/>
      <c r="AJ485" s="1"/>
      <c r="AK485" s="1"/>
      <c r="AL485" s="1"/>
      <c r="AM485" s="1"/>
      <c r="AN485" s="1"/>
      <c r="AO485" s="1"/>
      <c r="AP485" s="1"/>
      <c r="AQ485" s="1"/>
      <c r="AR485" s="1"/>
      <c r="AS485" s="1"/>
      <c r="AT485" s="1"/>
      <c r="AU485" s="1"/>
      <c r="AV485" s="1"/>
      <c r="AW485" s="1"/>
    </row>
    <row r="486" spans="1:49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  <c r="AB486" s="1"/>
      <c r="AC486" s="1"/>
      <c r="AD486" s="1"/>
      <c r="AE486" s="1"/>
      <c r="AF486" s="1"/>
      <c r="AG486" s="1"/>
      <c r="AH486" s="1"/>
      <c r="AI486" s="1"/>
      <c r="AJ486" s="1"/>
      <c r="AK486" s="1"/>
      <c r="AL486" s="1"/>
      <c r="AM486" s="1"/>
      <c r="AN486" s="1"/>
      <c r="AO486" s="1"/>
      <c r="AP486" s="1"/>
      <c r="AQ486" s="1"/>
      <c r="AR486" s="1"/>
      <c r="AS486" s="1"/>
      <c r="AT486" s="1"/>
      <c r="AU486" s="1"/>
      <c r="AV486" s="1"/>
      <c r="AW486" s="1"/>
    </row>
    <row r="487" spans="1:49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  <c r="AB487" s="1"/>
      <c r="AC487" s="1"/>
      <c r="AD487" s="1"/>
      <c r="AE487" s="1"/>
      <c r="AF487" s="1"/>
      <c r="AG487" s="1"/>
      <c r="AH487" s="1"/>
      <c r="AI487" s="1"/>
      <c r="AJ487" s="1"/>
      <c r="AK487" s="1"/>
      <c r="AL487" s="1"/>
      <c r="AM487" s="1"/>
      <c r="AN487" s="1"/>
      <c r="AO487" s="1"/>
      <c r="AP487" s="1"/>
      <c r="AQ487" s="1"/>
      <c r="AR487" s="1"/>
      <c r="AS487" s="1"/>
      <c r="AT487" s="1"/>
      <c r="AU487" s="1"/>
      <c r="AV487" s="1"/>
      <c r="AW487" s="1"/>
    </row>
    <row r="488" spans="1:49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  <c r="AB488" s="1"/>
      <c r="AC488" s="1"/>
      <c r="AD488" s="1"/>
      <c r="AE488" s="1"/>
      <c r="AF488" s="1"/>
      <c r="AG488" s="1"/>
      <c r="AH488" s="1"/>
      <c r="AI488" s="1"/>
      <c r="AJ488" s="1"/>
      <c r="AK488" s="1"/>
      <c r="AL488" s="1"/>
      <c r="AM488" s="1"/>
      <c r="AN488" s="1"/>
      <c r="AO488" s="1"/>
      <c r="AP488" s="1"/>
      <c r="AQ488" s="1"/>
      <c r="AR488" s="1"/>
      <c r="AS488" s="1"/>
      <c r="AT488" s="1"/>
      <c r="AU488" s="1"/>
      <c r="AV488" s="1"/>
      <c r="AW488" s="1"/>
    </row>
    <row r="489" spans="1:49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  <c r="AB489" s="1"/>
      <c r="AC489" s="1"/>
      <c r="AD489" s="1"/>
      <c r="AE489" s="1"/>
      <c r="AF489" s="1"/>
      <c r="AG489" s="1"/>
      <c r="AH489" s="1"/>
      <c r="AI489" s="1"/>
      <c r="AJ489" s="1"/>
      <c r="AK489" s="1"/>
      <c r="AL489" s="1"/>
      <c r="AM489" s="1"/>
      <c r="AN489" s="1"/>
      <c r="AO489" s="1"/>
      <c r="AP489" s="1"/>
      <c r="AQ489" s="1"/>
      <c r="AR489" s="1"/>
      <c r="AS489" s="1"/>
      <c r="AT489" s="1"/>
      <c r="AU489" s="1"/>
      <c r="AV489" s="1"/>
      <c r="AW489" s="1"/>
    </row>
    <row r="490" spans="1:49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  <c r="AB490" s="1"/>
      <c r="AC490" s="1"/>
      <c r="AD490" s="1"/>
      <c r="AE490" s="1"/>
      <c r="AF490" s="1"/>
      <c r="AG490" s="1"/>
      <c r="AH490" s="1"/>
      <c r="AI490" s="1"/>
      <c r="AJ490" s="1"/>
      <c r="AK490" s="1"/>
      <c r="AL490" s="1"/>
      <c r="AM490" s="1"/>
      <c r="AN490" s="1"/>
      <c r="AO490" s="1"/>
      <c r="AP490" s="1"/>
      <c r="AQ490" s="1"/>
      <c r="AR490" s="1"/>
      <c r="AS490" s="1"/>
      <c r="AT490" s="1"/>
      <c r="AU490" s="1"/>
      <c r="AV490" s="1"/>
      <c r="AW490" s="1"/>
    </row>
    <row r="491" spans="1:49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  <c r="AB491" s="1"/>
      <c r="AC491" s="1"/>
      <c r="AD491" s="1"/>
      <c r="AE491" s="1"/>
      <c r="AF491" s="1"/>
      <c r="AG491" s="1"/>
      <c r="AH491" s="1"/>
      <c r="AI491" s="1"/>
      <c r="AJ491" s="1"/>
      <c r="AK491" s="1"/>
      <c r="AL491" s="1"/>
      <c r="AM491" s="1"/>
      <c r="AN491" s="1"/>
      <c r="AO491" s="1"/>
      <c r="AP491" s="1"/>
      <c r="AQ491" s="1"/>
      <c r="AR491" s="1"/>
      <c r="AS491" s="1"/>
      <c r="AT491" s="1"/>
      <c r="AU491" s="1"/>
      <c r="AV491" s="1"/>
      <c r="AW491" s="1"/>
    </row>
    <row r="492" spans="1:49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  <c r="AB492" s="1"/>
      <c r="AC492" s="1"/>
      <c r="AD492" s="1"/>
      <c r="AE492" s="1"/>
      <c r="AF492" s="1"/>
      <c r="AG492" s="1"/>
      <c r="AH492" s="1"/>
      <c r="AI492" s="1"/>
      <c r="AJ492" s="1"/>
      <c r="AK492" s="1"/>
      <c r="AL492" s="1"/>
      <c r="AM492" s="1"/>
      <c r="AN492" s="1"/>
      <c r="AO492" s="1"/>
      <c r="AP492" s="1"/>
      <c r="AQ492" s="1"/>
      <c r="AR492" s="1"/>
      <c r="AS492" s="1"/>
      <c r="AT492" s="1"/>
      <c r="AU492" s="1"/>
      <c r="AV492" s="1"/>
      <c r="AW492" s="1"/>
    </row>
    <row r="493" spans="1:49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  <c r="AB493" s="1"/>
      <c r="AC493" s="1"/>
      <c r="AD493" s="1"/>
      <c r="AE493" s="1"/>
      <c r="AF493" s="1"/>
      <c r="AG493" s="1"/>
      <c r="AH493" s="1"/>
      <c r="AI493" s="1"/>
      <c r="AJ493" s="1"/>
      <c r="AK493" s="1"/>
      <c r="AL493" s="1"/>
      <c r="AM493" s="1"/>
      <c r="AN493" s="1"/>
      <c r="AO493" s="1"/>
      <c r="AP493" s="1"/>
      <c r="AQ493" s="1"/>
      <c r="AR493" s="1"/>
      <c r="AS493" s="1"/>
      <c r="AT493" s="1"/>
      <c r="AU493" s="1"/>
      <c r="AV493" s="1"/>
      <c r="AW493" s="1"/>
    </row>
    <row r="494" spans="1:49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  <c r="AB494" s="1"/>
      <c r="AC494" s="1"/>
      <c r="AD494" s="1"/>
      <c r="AE494" s="1"/>
      <c r="AF494" s="1"/>
      <c r="AG494" s="1"/>
      <c r="AH494" s="1"/>
      <c r="AI494" s="1"/>
      <c r="AJ494" s="1"/>
      <c r="AK494" s="1"/>
      <c r="AL494" s="1"/>
      <c r="AM494" s="1"/>
      <c r="AN494" s="1"/>
      <c r="AO494" s="1"/>
      <c r="AP494" s="1"/>
      <c r="AQ494" s="1"/>
      <c r="AR494" s="1"/>
      <c r="AS494" s="1"/>
      <c r="AT494" s="1"/>
      <c r="AU494" s="1"/>
      <c r="AV494" s="1"/>
      <c r="AW494" s="1"/>
    </row>
    <row r="495" spans="1:49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  <c r="AB495" s="1"/>
      <c r="AC495" s="1"/>
      <c r="AD495" s="1"/>
      <c r="AE495" s="1"/>
      <c r="AF495" s="1"/>
      <c r="AG495" s="1"/>
      <c r="AH495" s="1"/>
      <c r="AI495" s="1"/>
      <c r="AJ495" s="1"/>
      <c r="AK495" s="1"/>
      <c r="AL495" s="1"/>
      <c r="AM495" s="1"/>
      <c r="AN495" s="1"/>
      <c r="AO495" s="1"/>
      <c r="AP495" s="1"/>
      <c r="AQ495" s="1"/>
      <c r="AR495" s="1"/>
      <c r="AS495" s="1"/>
      <c r="AT495" s="1"/>
      <c r="AU495" s="1"/>
      <c r="AV495" s="1"/>
      <c r="AW495" s="1"/>
    </row>
    <row r="496" spans="1:49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  <c r="AB496" s="1"/>
      <c r="AC496" s="1"/>
      <c r="AD496" s="1"/>
      <c r="AE496" s="1"/>
      <c r="AF496" s="1"/>
      <c r="AG496" s="1"/>
      <c r="AH496" s="1"/>
      <c r="AI496" s="1"/>
      <c r="AJ496" s="1"/>
      <c r="AK496" s="1"/>
      <c r="AL496" s="1"/>
      <c r="AM496" s="1"/>
      <c r="AN496" s="1"/>
      <c r="AO496" s="1"/>
      <c r="AP496" s="1"/>
      <c r="AQ496" s="1"/>
      <c r="AR496" s="1"/>
      <c r="AS496" s="1"/>
      <c r="AT496" s="1"/>
      <c r="AU496" s="1"/>
      <c r="AV496" s="1"/>
      <c r="AW496" s="1"/>
    </row>
    <row r="497" spans="1:49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  <c r="AB497" s="1"/>
      <c r="AC497" s="1"/>
      <c r="AD497" s="1"/>
      <c r="AE497" s="1"/>
      <c r="AF497" s="1"/>
      <c r="AG497" s="1"/>
      <c r="AH497" s="1"/>
      <c r="AI497" s="1"/>
      <c r="AJ497" s="1"/>
      <c r="AK497" s="1"/>
      <c r="AL497" s="1"/>
      <c r="AM497" s="1"/>
      <c r="AN497" s="1"/>
      <c r="AO497" s="1"/>
      <c r="AP497" s="1"/>
      <c r="AQ497" s="1"/>
      <c r="AR497" s="1"/>
      <c r="AS497" s="1"/>
      <c r="AT497" s="1"/>
      <c r="AU497" s="1"/>
      <c r="AV497" s="1"/>
      <c r="AW497" s="1"/>
    </row>
    <row r="498" spans="1:49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  <c r="AB498" s="1"/>
      <c r="AC498" s="1"/>
      <c r="AD498" s="1"/>
      <c r="AE498" s="1"/>
      <c r="AF498" s="1"/>
      <c r="AG498" s="1"/>
      <c r="AH498" s="1"/>
      <c r="AI498" s="1"/>
      <c r="AJ498" s="1"/>
      <c r="AK498" s="1"/>
      <c r="AL498" s="1"/>
      <c r="AM498" s="1"/>
      <c r="AN498" s="1"/>
      <c r="AO498" s="1"/>
      <c r="AP498" s="1"/>
      <c r="AQ498" s="1"/>
      <c r="AR498" s="1"/>
      <c r="AS498" s="1"/>
      <c r="AT498" s="1"/>
      <c r="AU498" s="1"/>
      <c r="AV498" s="1"/>
      <c r="AW498" s="1"/>
    </row>
    <row r="499" spans="1:49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  <c r="AB499" s="1"/>
      <c r="AC499" s="1"/>
      <c r="AD499" s="1"/>
      <c r="AE499" s="1"/>
      <c r="AF499" s="1"/>
      <c r="AG499" s="1"/>
      <c r="AH499" s="1"/>
      <c r="AI499" s="1"/>
      <c r="AJ499" s="1"/>
      <c r="AK499" s="1"/>
      <c r="AL499" s="1"/>
      <c r="AM499" s="1"/>
      <c r="AN499" s="1"/>
      <c r="AO499" s="1"/>
      <c r="AP499" s="1"/>
      <c r="AQ499" s="1"/>
      <c r="AR499" s="1"/>
      <c r="AS499" s="1"/>
      <c r="AT499" s="1"/>
      <c r="AU499" s="1"/>
      <c r="AV499" s="1"/>
      <c r="AW499" s="1"/>
    </row>
    <row r="500" spans="1:49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  <c r="AB500" s="1"/>
      <c r="AC500" s="1"/>
      <c r="AD500" s="1"/>
      <c r="AE500" s="1"/>
      <c r="AF500" s="1"/>
      <c r="AG500" s="1"/>
      <c r="AH500" s="1"/>
      <c r="AI500" s="1"/>
      <c r="AJ500" s="1"/>
      <c r="AK500" s="1"/>
      <c r="AL500" s="1"/>
      <c r="AM500" s="1"/>
      <c r="AN500" s="1"/>
      <c r="AO500" s="1"/>
      <c r="AP500" s="1"/>
      <c r="AQ500" s="1"/>
      <c r="AR500" s="1"/>
      <c r="AS500" s="1"/>
      <c r="AT500" s="1"/>
      <c r="AU500" s="1"/>
      <c r="AV500" s="1"/>
      <c r="AW500" s="1"/>
    </row>
    <row r="501" spans="1:49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  <c r="AB501" s="1"/>
      <c r="AC501" s="1"/>
      <c r="AD501" s="1"/>
      <c r="AE501" s="1"/>
      <c r="AF501" s="1"/>
      <c r="AG501" s="1"/>
      <c r="AH501" s="1"/>
      <c r="AI501" s="1"/>
      <c r="AJ501" s="1"/>
      <c r="AK501" s="1"/>
      <c r="AL501" s="1"/>
      <c r="AM501" s="1"/>
      <c r="AN501" s="1"/>
      <c r="AO501" s="1"/>
      <c r="AP501" s="1"/>
      <c r="AQ501" s="1"/>
      <c r="AR501" s="1"/>
      <c r="AS501" s="1"/>
      <c r="AT501" s="1"/>
      <c r="AU501" s="1"/>
      <c r="AV501" s="1"/>
      <c r="AW501" s="1"/>
    </row>
    <row r="502" spans="1:49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  <c r="AB502" s="1"/>
      <c r="AC502" s="1"/>
      <c r="AD502" s="1"/>
      <c r="AE502" s="1"/>
      <c r="AF502" s="1"/>
      <c r="AG502" s="1"/>
      <c r="AH502" s="1"/>
      <c r="AI502" s="1"/>
      <c r="AJ502" s="1"/>
      <c r="AK502" s="1"/>
      <c r="AL502" s="1"/>
      <c r="AM502" s="1"/>
      <c r="AN502" s="1"/>
      <c r="AO502" s="1"/>
      <c r="AP502" s="1"/>
      <c r="AQ502" s="1"/>
      <c r="AR502" s="1"/>
      <c r="AS502" s="1"/>
      <c r="AT502" s="1"/>
      <c r="AU502" s="1"/>
      <c r="AV502" s="1"/>
      <c r="AW502" s="1"/>
    </row>
    <row r="503" spans="1:49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  <c r="AB503" s="1"/>
      <c r="AC503" s="1"/>
      <c r="AD503" s="1"/>
      <c r="AE503" s="1"/>
      <c r="AF503" s="1"/>
      <c r="AG503" s="1"/>
      <c r="AH503" s="1"/>
      <c r="AI503" s="1"/>
      <c r="AJ503" s="1"/>
      <c r="AK503" s="1"/>
      <c r="AL503" s="1"/>
      <c r="AM503" s="1"/>
      <c r="AN503" s="1"/>
      <c r="AO503" s="1"/>
      <c r="AP503" s="1"/>
      <c r="AQ503" s="1"/>
      <c r="AR503" s="1"/>
      <c r="AS503" s="1"/>
      <c r="AT503" s="1"/>
      <c r="AU503" s="1"/>
      <c r="AV503" s="1"/>
      <c r="AW503" s="1"/>
    </row>
    <row r="504" spans="1:49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  <c r="AB504" s="1"/>
      <c r="AC504" s="1"/>
      <c r="AD504" s="1"/>
      <c r="AE504" s="1"/>
      <c r="AF504" s="1"/>
      <c r="AG504" s="1"/>
      <c r="AH504" s="1"/>
      <c r="AI504" s="1"/>
      <c r="AJ504" s="1"/>
      <c r="AK504" s="1"/>
      <c r="AL504" s="1"/>
      <c r="AM504" s="1"/>
      <c r="AN504" s="1"/>
      <c r="AO504" s="1"/>
      <c r="AP504" s="1"/>
      <c r="AQ504" s="1"/>
      <c r="AR504" s="1"/>
      <c r="AS504" s="1"/>
      <c r="AT504" s="1"/>
      <c r="AU504" s="1"/>
      <c r="AV504" s="1"/>
      <c r="AW504" s="1"/>
    </row>
    <row r="505" spans="1:49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  <c r="AB505" s="1"/>
      <c r="AC505" s="1"/>
      <c r="AD505" s="1"/>
      <c r="AE505" s="1"/>
      <c r="AF505" s="1"/>
      <c r="AG505" s="1"/>
      <c r="AH505" s="1"/>
      <c r="AI505" s="1"/>
      <c r="AJ505" s="1"/>
      <c r="AK505" s="1"/>
      <c r="AL505" s="1"/>
      <c r="AM505" s="1"/>
      <c r="AN505" s="1"/>
      <c r="AO505" s="1"/>
      <c r="AP505" s="1"/>
      <c r="AQ505" s="1"/>
      <c r="AR505" s="1"/>
      <c r="AS505" s="1"/>
      <c r="AT505" s="1"/>
      <c r="AU505" s="1"/>
      <c r="AV505" s="1"/>
      <c r="AW505" s="1"/>
    </row>
    <row r="506" spans="1:49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  <c r="AB506" s="1"/>
      <c r="AC506" s="1"/>
      <c r="AD506" s="1"/>
      <c r="AE506" s="1"/>
      <c r="AF506" s="1"/>
      <c r="AG506" s="1"/>
      <c r="AH506" s="1"/>
      <c r="AI506" s="1"/>
      <c r="AJ506" s="1"/>
      <c r="AK506" s="1"/>
      <c r="AL506" s="1"/>
      <c r="AM506" s="1"/>
      <c r="AN506" s="1"/>
      <c r="AO506" s="1"/>
      <c r="AP506" s="1"/>
      <c r="AQ506" s="1"/>
      <c r="AR506" s="1"/>
      <c r="AS506" s="1"/>
      <c r="AT506" s="1"/>
      <c r="AU506" s="1"/>
      <c r="AV506" s="1"/>
      <c r="AW506" s="1"/>
    </row>
    <row r="507" spans="1:49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  <c r="AB507" s="1"/>
      <c r="AC507" s="1"/>
      <c r="AD507" s="1"/>
      <c r="AE507" s="1"/>
      <c r="AF507" s="1"/>
      <c r="AG507" s="1"/>
      <c r="AH507" s="1"/>
      <c r="AI507" s="1"/>
      <c r="AJ507" s="1"/>
      <c r="AK507" s="1"/>
      <c r="AL507" s="1"/>
      <c r="AM507" s="1"/>
      <c r="AN507" s="1"/>
      <c r="AO507" s="1"/>
      <c r="AP507" s="1"/>
      <c r="AQ507" s="1"/>
      <c r="AR507" s="1"/>
      <c r="AS507" s="1"/>
      <c r="AT507" s="1"/>
      <c r="AU507" s="1"/>
      <c r="AV507" s="1"/>
      <c r="AW507" s="1"/>
    </row>
    <row r="508" spans="1:49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  <c r="AB508" s="1"/>
      <c r="AC508" s="1"/>
      <c r="AD508" s="1"/>
      <c r="AE508" s="1"/>
      <c r="AF508" s="1"/>
      <c r="AG508" s="1"/>
      <c r="AH508" s="1"/>
      <c r="AI508" s="1"/>
      <c r="AJ508" s="1"/>
      <c r="AK508" s="1"/>
      <c r="AL508" s="1"/>
      <c r="AM508" s="1"/>
      <c r="AN508" s="1"/>
      <c r="AO508" s="1"/>
      <c r="AP508" s="1"/>
      <c r="AQ508" s="1"/>
      <c r="AR508" s="1"/>
      <c r="AS508" s="1"/>
      <c r="AT508" s="1"/>
      <c r="AU508" s="1"/>
      <c r="AV508" s="1"/>
      <c r="AW508" s="1"/>
    </row>
    <row r="509" spans="1:49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  <c r="AB509" s="1"/>
      <c r="AC509" s="1"/>
      <c r="AD509" s="1"/>
      <c r="AE509" s="1"/>
      <c r="AF509" s="1"/>
      <c r="AG509" s="1"/>
      <c r="AH509" s="1"/>
      <c r="AI509" s="1"/>
      <c r="AJ509" s="1"/>
      <c r="AK509" s="1"/>
      <c r="AL509" s="1"/>
      <c r="AM509" s="1"/>
      <c r="AN509" s="1"/>
      <c r="AO509" s="1"/>
      <c r="AP509" s="1"/>
      <c r="AQ509" s="1"/>
      <c r="AR509" s="1"/>
      <c r="AS509" s="1"/>
      <c r="AT509" s="1"/>
      <c r="AU509" s="1"/>
      <c r="AV509" s="1"/>
      <c r="AW509" s="1"/>
    </row>
    <row r="510" spans="1:49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  <c r="AB510" s="1"/>
      <c r="AC510" s="1"/>
      <c r="AD510" s="1"/>
      <c r="AE510" s="1"/>
      <c r="AF510" s="1"/>
      <c r="AG510" s="1"/>
      <c r="AH510" s="1"/>
      <c r="AI510" s="1"/>
      <c r="AJ510" s="1"/>
      <c r="AK510" s="1"/>
      <c r="AL510" s="1"/>
      <c r="AM510" s="1"/>
      <c r="AN510" s="1"/>
      <c r="AO510" s="1"/>
      <c r="AP510" s="1"/>
      <c r="AQ510" s="1"/>
      <c r="AR510" s="1"/>
      <c r="AS510" s="1"/>
      <c r="AT510" s="1"/>
      <c r="AU510" s="1"/>
      <c r="AV510" s="1"/>
      <c r="AW510" s="1"/>
    </row>
    <row r="511" spans="1:49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  <c r="AB511" s="1"/>
      <c r="AC511" s="1"/>
      <c r="AD511" s="1"/>
      <c r="AE511" s="1"/>
      <c r="AF511" s="1"/>
      <c r="AG511" s="1"/>
      <c r="AH511" s="1"/>
      <c r="AI511" s="1"/>
      <c r="AJ511" s="1"/>
      <c r="AK511" s="1"/>
      <c r="AL511" s="1"/>
      <c r="AM511" s="1"/>
      <c r="AN511" s="1"/>
      <c r="AO511" s="1"/>
      <c r="AP511" s="1"/>
      <c r="AQ511" s="1"/>
      <c r="AR511" s="1"/>
      <c r="AS511" s="1"/>
      <c r="AT511" s="1"/>
      <c r="AU511" s="1"/>
      <c r="AV511" s="1"/>
      <c r="AW511" s="1"/>
    </row>
    <row r="512" spans="1:49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  <c r="AB512" s="1"/>
      <c r="AC512" s="1"/>
      <c r="AD512" s="1"/>
      <c r="AE512" s="1"/>
      <c r="AF512" s="1"/>
      <c r="AG512" s="1"/>
      <c r="AH512" s="1"/>
      <c r="AI512" s="1"/>
      <c r="AJ512" s="1"/>
      <c r="AK512" s="1"/>
      <c r="AL512" s="1"/>
      <c r="AM512" s="1"/>
      <c r="AN512" s="1"/>
      <c r="AO512" s="1"/>
      <c r="AP512" s="1"/>
      <c r="AQ512" s="1"/>
      <c r="AR512" s="1"/>
      <c r="AS512" s="1"/>
      <c r="AT512" s="1"/>
      <c r="AU512" s="1"/>
      <c r="AV512" s="1"/>
      <c r="AW512" s="1"/>
    </row>
    <row r="513" spans="1:49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  <c r="AB513" s="1"/>
      <c r="AC513" s="1"/>
      <c r="AD513" s="1"/>
      <c r="AE513" s="1"/>
      <c r="AF513" s="1"/>
      <c r="AG513" s="1"/>
      <c r="AH513" s="1"/>
      <c r="AI513" s="1"/>
      <c r="AJ513" s="1"/>
      <c r="AK513" s="1"/>
      <c r="AL513" s="1"/>
      <c r="AM513" s="1"/>
      <c r="AN513" s="1"/>
      <c r="AO513" s="1"/>
      <c r="AP513" s="1"/>
      <c r="AQ513" s="1"/>
      <c r="AR513" s="1"/>
      <c r="AS513" s="1"/>
      <c r="AT513" s="1"/>
      <c r="AU513" s="1"/>
      <c r="AV513" s="1"/>
      <c r="AW513" s="1"/>
    </row>
    <row r="514" spans="1:49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  <c r="AB514" s="1"/>
      <c r="AC514" s="1"/>
      <c r="AD514" s="1"/>
      <c r="AE514" s="1"/>
      <c r="AF514" s="1"/>
      <c r="AG514" s="1"/>
      <c r="AH514" s="1"/>
      <c r="AI514" s="1"/>
      <c r="AJ514" s="1"/>
      <c r="AK514" s="1"/>
      <c r="AL514" s="1"/>
      <c r="AM514" s="1"/>
      <c r="AN514" s="1"/>
      <c r="AO514" s="1"/>
      <c r="AP514" s="1"/>
      <c r="AQ514" s="1"/>
      <c r="AR514" s="1"/>
      <c r="AS514" s="1"/>
      <c r="AT514" s="1"/>
      <c r="AU514" s="1"/>
      <c r="AV514" s="1"/>
      <c r="AW514" s="1"/>
    </row>
    <row r="515" spans="1:49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  <c r="AB515" s="1"/>
      <c r="AC515" s="1"/>
      <c r="AD515" s="1"/>
      <c r="AE515" s="1"/>
      <c r="AF515" s="1"/>
      <c r="AG515" s="1"/>
      <c r="AH515" s="1"/>
      <c r="AI515" s="1"/>
      <c r="AJ515" s="1"/>
      <c r="AK515" s="1"/>
      <c r="AL515" s="1"/>
      <c r="AM515" s="1"/>
      <c r="AN515" s="1"/>
      <c r="AO515" s="1"/>
      <c r="AP515" s="1"/>
      <c r="AQ515" s="1"/>
      <c r="AR515" s="1"/>
      <c r="AS515" s="1"/>
      <c r="AT515" s="1"/>
      <c r="AU515" s="1"/>
      <c r="AV515" s="1"/>
      <c r="AW515" s="1"/>
    </row>
    <row r="516" spans="1:49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  <c r="AB516" s="1"/>
      <c r="AC516" s="1"/>
      <c r="AD516" s="1"/>
      <c r="AE516" s="1"/>
      <c r="AF516" s="1"/>
      <c r="AG516" s="1"/>
      <c r="AH516" s="1"/>
      <c r="AI516" s="1"/>
      <c r="AJ516" s="1"/>
      <c r="AK516" s="1"/>
      <c r="AL516" s="1"/>
      <c r="AM516" s="1"/>
      <c r="AN516" s="1"/>
      <c r="AO516" s="1"/>
      <c r="AP516" s="1"/>
      <c r="AQ516" s="1"/>
      <c r="AR516" s="1"/>
      <c r="AS516" s="1"/>
      <c r="AT516" s="1"/>
      <c r="AU516" s="1"/>
      <c r="AV516" s="1"/>
      <c r="AW516" s="1"/>
    </row>
    <row r="517" spans="1:49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  <c r="AB517" s="1"/>
      <c r="AC517" s="1"/>
      <c r="AD517" s="1"/>
      <c r="AE517" s="1"/>
      <c r="AF517" s="1"/>
      <c r="AG517" s="1"/>
      <c r="AH517" s="1"/>
      <c r="AI517" s="1"/>
      <c r="AJ517" s="1"/>
      <c r="AK517" s="1"/>
      <c r="AL517" s="1"/>
      <c r="AM517" s="1"/>
      <c r="AN517" s="1"/>
      <c r="AO517" s="1"/>
      <c r="AP517" s="1"/>
      <c r="AQ517" s="1"/>
      <c r="AR517" s="1"/>
      <c r="AS517" s="1"/>
      <c r="AT517" s="1"/>
      <c r="AU517" s="1"/>
      <c r="AV517" s="1"/>
      <c r="AW517" s="1"/>
    </row>
    <row r="518" spans="1:49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  <c r="AB518" s="1"/>
      <c r="AC518" s="1"/>
      <c r="AD518" s="1"/>
      <c r="AE518" s="1"/>
      <c r="AF518" s="1"/>
      <c r="AG518" s="1"/>
      <c r="AH518" s="1"/>
      <c r="AI518" s="1"/>
      <c r="AJ518" s="1"/>
      <c r="AK518" s="1"/>
      <c r="AL518" s="1"/>
      <c r="AM518" s="1"/>
      <c r="AN518" s="1"/>
      <c r="AO518" s="1"/>
      <c r="AP518" s="1"/>
      <c r="AQ518" s="1"/>
      <c r="AR518" s="1"/>
      <c r="AS518" s="1"/>
      <c r="AT518" s="1"/>
      <c r="AU518" s="1"/>
      <c r="AV518" s="1"/>
      <c r="AW518" s="1"/>
    </row>
    <row r="519" spans="1:49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  <c r="AB519" s="1"/>
      <c r="AC519" s="1"/>
      <c r="AD519" s="1"/>
      <c r="AE519" s="1"/>
      <c r="AF519" s="1"/>
      <c r="AG519" s="1"/>
      <c r="AH519" s="1"/>
      <c r="AI519" s="1"/>
      <c r="AJ519" s="1"/>
      <c r="AK519" s="1"/>
      <c r="AL519" s="1"/>
      <c r="AM519" s="1"/>
      <c r="AN519" s="1"/>
      <c r="AO519" s="1"/>
      <c r="AP519" s="1"/>
      <c r="AQ519" s="1"/>
      <c r="AR519" s="1"/>
      <c r="AS519" s="1"/>
      <c r="AT519" s="1"/>
      <c r="AU519" s="1"/>
      <c r="AV519" s="1"/>
      <c r="AW519" s="1"/>
    </row>
    <row r="520" spans="1:49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  <c r="AB520" s="1"/>
      <c r="AC520" s="1"/>
      <c r="AD520" s="1"/>
      <c r="AE520" s="1"/>
      <c r="AF520" s="1"/>
      <c r="AG520" s="1"/>
      <c r="AH520" s="1"/>
      <c r="AI520" s="1"/>
      <c r="AJ520" s="1"/>
      <c r="AK520" s="1"/>
      <c r="AL520" s="1"/>
      <c r="AM520" s="1"/>
      <c r="AN520" s="1"/>
      <c r="AO520" s="1"/>
      <c r="AP520" s="1"/>
      <c r="AQ520" s="1"/>
      <c r="AR520" s="1"/>
      <c r="AS520" s="1"/>
      <c r="AT520" s="1"/>
      <c r="AU520" s="1"/>
      <c r="AV520" s="1"/>
      <c r="AW520" s="1"/>
    </row>
    <row r="521" spans="1:49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  <c r="AB521" s="1"/>
      <c r="AC521" s="1"/>
      <c r="AD521" s="1"/>
      <c r="AE521" s="1"/>
      <c r="AF521" s="1"/>
      <c r="AG521" s="1"/>
      <c r="AH521" s="1"/>
      <c r="AI521" s="1"/>
      <c r="AJ521" s="1"/>
      <c r="AK521" s="1"/>
      <c r="AL521" s="1"/>
      <c r="AM521" s="1"/>
      <c r="AN521" s="1"/>
      <c r="AO521" s="1"/>
      <c r="AP521" s="1"/>
      <c r="AQ521" s="1"/>
      <c r="AR521" s="1"/>
      <c r="AS521" s="1"/>
      <c r="AT521" s="1"/>
      <c r="AU521" s="1"/>
      <c r="AV521" s="1"/>
      <c r="AW521" s="1"/>
    </row>
    <row r="522" spans="1:49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  <c r="AB522" s="1"/>
      <c r="AC522" s="1"/>
      <c r="AD522" s="1"/>
      <c r="AE522" s="1"/>
      <c r="AF522" s="1"/>
      <c r="AG522" s="1"/>
      <c r="AH522" s="1"/>
      <c r="AI522" s="1"/>
      <c r="AJ522" s="1"/>
      <c r="AK522" s="1"/>
      <c r="AL522" s="1"/>
      <c r="AM522" s="1"/>
      <c r="AN522" s="1"/>
      <c r="AO522" s="1"/>
      <c r="AP522" s="1"/>
      <c r="AQ522" s="1"/>
      <c r="AR522" s="1"/>
      <c r="AS522" s="1"/>
      <c r="AT522" s="1"/>
      <c r="AU522" s="1"/>
      <c r="AV522" s="1"/>
      <c r="AW522" s="1"/>
    </row>
    <row r="523" spans="1:49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  <c r="AB523" s="1"/>
      <c r="AC523" s="1"/>
      <c r="AD523" s="1"/>
      <c r="AE523" s="1"/>
      <c r="AF523" s="1"/>
      <c r="AG523" s="1"/>
      <c r="AH523" s="1"/>
      <c r="AI523" s="1"/>
      <c r="AJ523" s="1"/>
      <c r="AK523" s="1"/>
      <c r="AL523" s="1"/>
      <c r="AM523" s="1"/>
      <c r="AN523" s="1"/>
      <c r="AO523" s="1"/>
      <c r="AP523" s="1"/>
      <c r="AQ523" s="1"/>
      <c r="AR523" s="1"/>
      <c r="AS523" s="1"/>
      <c r="AT523" s="1"/>
      <c r="AU523" s="1"/>
      <c r="AV523" s="1"/>
      <c r="AW523" s="1"/>
    </row>
    <row r="524" spans="1:49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  <c r="AB524" s="1"/>
      <c r="AC524" s="1"/>
      <c r="AD524" s="1"/>
      <c r="AE524" s="1"/>
      <c r="AF524" s="1"/>
      <c r="AG524" s="1"/>
      <c r="AH524" s="1"/>
      <c r="AI524" s="1"/>
      <c r="AJ524" s="1"/>
      <c r="AK524" s="1"/>
      <c r="AL524" s="1"/>
      <c r="AM524" s="1"/>
      <c r="AN524" s="1"/>
      <c r="AO524" s="1"/>
      <c r="AP524" s="1"/>
      <c r="AQ524" s="1"/>
      <c r="AR524" s="1"/>
      <c r="AS524" s="1"/>
      <c r="AT524" s="1"/>
      <c r="AU524" s="1"/>
      <c r="AV524" s="1"/>
      <c r="AW524" s="1"/>
    </row>
    <row r="525" spans="1:49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  <c r="AB525" s="1"/>
      <c r="AC525" s="1"/>
      <c r="AD525" s="1"/>
      <c r="AE525" s="1"/>
      <c r="AF525" s="1"/>
      <c r="AG525" s="1"/>
      <c r="AH525" s="1"/>
      <c r="AI525" s="1"/>
      <c r="AJ525" s="1"/>
      <c r="AK525" s="1"/>
      <c r="AL525" s="1"/>
      <c r="AM525" s="1"/>
      <c r="AN525" s="1"/>
      <c r="AO525" s="1"/>
      <c r="AP525" s="1"/>
      <c r="AQ525" s="1"/>
      <c r="AR525" s="1"/>
      <c r="AS525" s="1"/>
      <c r="AT525" s="1"/>
      <c r="AU525" s="1"/>
      <c r="AV525" s="1"/>
      <c r="AW525" s="1"/>
    </row>
    <row r="526" spans="1:49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  <c r="AB526" s="1"/>
      <c r="AC526" s="1"/>
      <c r="AD526" s="1"/>
      <c r="AE526" s="1"/>
      <c r="AF526" s="1"/>
      <c r="AG526" s="1"/>
      <c r="AH526" s="1"/>
      <c r="AI526" s="1"/>
      <c r="AJ526" s="1"/>
      <c r="AK526" s="1"/>
      <c r="AL526" s="1"/>
      <c r="AM526" s="1"/>
      <c r="AN526" s="1"/>
      <c r="AO526" s="1"/>
      <c r="AP526" s="1"/>
      <c r="AQ526" s="1"/>
      <c r="AR526" s="1"/>
      <c r="AS526" s="1"/>
      <c r="AT526" s="1"/>
      <c r="AU526" s="1"/>
      <c r="AV526" s="1"/>
      <c r="AW526" s="1"/>
    </row>
    <row r="527" spans="1:49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  <c r="AB527" s="1"/>
      <c r="AC527" s="1"/>
      <c r="AD527" s="1"/>
      <c r="AE527" s="1"/>
      <c r="AF527" s="1"/>
      <c r="AG527" s="1"/>
      <c r="AH527" s="1"/>
      <c r="AI527" s="1"/>
      <c r="AJ527" s="1"/>
      <c r="AK527" s="1"/>
      <c r="AL527" s="1"/>
      <c r="AM527" s="1"/>
      <c r="AN527" s="1"/>
      <c r="AO527" s="1"/>
      <c r="AP527" s="1"/>
      <c r="AQ527" s="1"/>
      <c r="AR527" s="1"/>
      <c r="AS527" s="1"/>
      <c r="AT527" s="1"/>
      <c r="AU527" s="1"/>
      <c r="AV527" s="1"/>
      <c r="AW527" s="1"/>
    </row>
    <row r="528" spans="1:49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  <c r="AB528" s="1"/>
      <c r="AC528" s="1"/>
      <c r="AD528" s="1"/>
      <c r="AE528" s="1"/>
      <c r="AF528" s="1"/>
      <c r="AG528" s="1"/>
      <c r="AH528" s="1"/>
      <c r="AI528" s="1"/>
      <c r="AJ528" s="1"/>
      <c r="AK528" s="1"/>
      <c r="AL528" s="1"/>
      <c r="AM528" s="1"/>
      <c r="AN528" s="1"/>
      <c r="AO528" s="1"/>
      <c r="AP528" s="1"/>
      <c r="AQ528" s="1"/>
      <c r="AR528" s="1"/>
      <c r="AS528" s="1"/>
      <c r="AT528" s="1"/>
      <c r="AU528" s="1"/>
      <c r="AV528" s="1"/>
      <c r="AW528" s="1"/>
    </row>
    <row r="529" spans="1:49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  <c r="AB529" s="1"/>
      <c r="AC529" s="1"/>
      <c r="AD529" s="1"/>
      <c r="AE529" s="1"/>
      <c r="AF529" s="1"/>
      <c r="AG529" s="1"/>
      <c r="AH529" s="1"/>
      <c r="AI529" s="1"/>
      <c r="AJ529" s="1"/>
      <c r="AK529" s="1"/>
      <c r="AL529" s="1"/>
      <c r="AM529" s="1"/>
      <c r="AN529" s="1"/>
      <c r="AO529" s="1"/>
      <c r="AP529" s="1"/>
      <c r="AQ529" s="1"/>
      <c r="AR529" s="1"/>
      <c r="AS529" s="1"/>
      <c r="AT529" s="1"/>
      <c r="AU529" s="1"/>
      <c r="AV529" s="1"/>
      <c r="AW529" s="1"/>
    </row>
    <row r="530" spans="1:49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  <c r="AB530" s="1"/>
      <c r="AC530" s="1"/>
      <c r="AD530" s="1"/>
      <c r="AE530" s="1"/>
      <c r="AF530" s="1"/>
      <c r="AG530" s="1"/>
      <c r="AH530" s="1"/>
      <c r="AI530" s="1"/>
      <c r="AJ530" s="1"/>
      <c r="AK530" s="1"/>
      <c r="AL530" s="1"/>
      <c r="AM530" s="1"/>
      <c r="AN530" s="1"/>
      <c r="AO530" s="1"/>
      <c r="AP530" s="1"/>
      <c r="AQ530" s="1"/>
      <c r="AR530" s="1"/>
      <c r="AS530" s="1"/>
      <c r="AT530" s="1"/>
      <c r="AU530" s="1"/>
      <c r="AV530" s="1"/>
      <c r="AW530" s="1"/>
    </row>
    <row r="531" spans="1:49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  <c r="AB531" s="1"/>
      <c r="AC531" s="1"/>
      <c r="AD531" s="1"/>
      <c r="AE531" s="1"/>
      <c r="AF531" s="1"/>
      <c r="AG531" s="1"/>
      <c r="AH531" s="1"/>
      <c r="AI531" s="1"/>
      <c r="AJ531" s="1"/>
      <c r="AK531" s="1"/>
      <c r="AL531" s="1"/>
      <c r="AM531" s="1"/>
      <c r="AN531" s="1"/>
      <c r="AO531" s="1"/>
      <c r="AP531" s="1"/>
      <c r="AQ531" s="1"/>
      <c r="AR531" s="1"/>
      <c r="AS531" s="1"/>
      <c r="AT531" s="1"/>
      <c r="AU531" s="1"/>
      <c r="AV531" s="1"/>
      <c r="AW531" s="1"/>
    </row>
    <row r="532" spans="1:49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  <c r="AB532" s="1"/>
      <c r="AC532" s="1"/>
      <c r="AD532" s="1"/>
      <c r="AE532" s="1"/>
      <c r="AF532" s="1"/>
      <c r="AG532" s="1"/>
      <c r="AH532" s="1"/>
      <c r="AI532" s="1"/>
      <c r="AJ532" s="1"/>
      <c r="AK532" s="1"/>
      <c r="AL532" s="1"/>
      <c r="AM532" s="1"/>
      <c r="AN532" s="1"/>
      <c r="AO532" s="1"/>
      <c r="AP532" s="1"/>
      <c r="AQ532" s="1"/>
      <c r="AR532" s="1"/>
      <c r="AS532" s="1"/>
      <c r="AT532" s="1"/>
      <c r="AU532" s="1"/>
      <c r="AV532" s="1"/>
      <c r="AW532" s="1"/>
    </row>
    <row r="533" spans="1:49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  <c r="AB533" s="1"/>
      <c r="AC533" s="1"/>
      <c r="AD533" s="1"/>
      <c r="AE533" s="1"/>
      <c r="AF533" s="1"/>
      <c r="AG533" s="1"/>
      <c r="AH533" s="1"/>
      <c r="AI533" s="1"/>
      <c r="AJ533" s="1"/>
      <c r="AK533" s="1"/>
      <c r="AL533" s="1"/>
      <c r="AM533" s="1"/>
      <c r="AN533" s="1"/>
      <c r="AO533" s="1"/>
      <c r="AP533" s="1"/>
      <c r="AQ533" s="1"/>
      <c r="AR533" s="1"/>
      <c r="AS533" s="1"/>
      <c r="AT533" s="1"/>
      <c r="AU533" s="1"/>
      <c r="AV533" s="1"/>
      <c r="AW533" s="1"/>
    </row>
    <row r="534" spans="1:49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  <c r="AB534" s="1"/>
      <c r="AC534" s="1"/>
      <c r="AD534" s="1"/>
      <c r="AE534" s="1"/>
      <c r="AF534" s="1"/>
      <c r="AG534" s="1"/>
      <c r="AH534" s="1"/>
      <c r="AI534" s="1"/>
      <c r="AJ534" s="1"/>
      <c r="AK534" s="1"/>
      <c r="AL534" s="1"/>
      <c r="AM534" s="1"/>
      <c r="AN534" s="1"/>
      <c r="AO534" s="1"/>
      <c r="AP534" s="1"/>
      <c r="AQ534" s="1"/>
      <c r="AR534" s="1"/>
      <c r="AS534" s="1"/>
      <c r="AT534" s="1"/>
      <c r="AU534" s="1"/>
      <c r="AV534" s="1"/>
      <c r="AW534" s="1"/>
    </row>
    <row r="535" spans="1:49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  <c r="AB535" s="1"/>
      <c r="AC535" s="1"/>
      <c r="AD535" s="1"/>
      <c r="AE535" s="1"/>
      <c r="AF535" s="1"/>
      <c r="AG535" s="1"/>
      <c r="AH535" s="1"/>
      <c r="AI535" s="1"/>
      <c r="AJ535" s="1"/>
      <c r="AK535" s="1"/>
      <c r="AL535" s="1"/>
      <c r="AM535" s="1"/>
      <c r="AN535" s="1"/>
      <c r="AO535" s="1"/>
      <c r="AP535" s="1"/>
      <c r="AQ535" s="1"/>
      <c r="AR535" s="1"/>
      <c r="AS535" s="1"/>
      <c r="AT535" s="1"/>
      <c r="AU535" s="1"/>
      <c r="AV535" s="1"/>
      <c r="AW535" s="1"/>
    </row>
    <row r="536" spans="1:49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  <c r="AB536" s="1"/>
      <c r="AC536" s="1"/>
      <c r="AD536" s="1"/>
      <c r="AE536" s="1"/>
      <c r="AF536" s="1"/>
      <c r="AG536" s="1"/>
      <c r="AH536" s="1"/>
      <c r="AI536" s="1"/>
      <c r="AJ536" s="1"/>
      <c r="AK536" s="1"/>
      <c r="AL536" s="1"/>
      <c r="AM536" s="1"/>
      <c r="AN536" s="1"/>
      <c r="AO536" s="1"/>
      <c r="AP536" s="1"/>
      <c r="AQ536" s="1"/>
      <c r="AR536" s="1"/>
      <c r="AS536" s="1"/>
      <c r="AT536" s="1"/>
      <c r="AU536" s="1"/>
      <c r="AV536" s="1"/>
      <c r="AW536" s="1"/>
    </row>
    <row r="537" spans="1:49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  <c r="AB537" s="1"/>
      <c r="AC537" s="1"/>
      <c r="AD537" s="1"/>
      <c r="AE537" s="1"/>
      <c r="AF537" s="1"/>
      <c r="AG537" s="1"/>
      <c r="AH537" s="1"/>
      <c r="AI537" s="1"/>
      <c r="AJ537" s="1"/>
      <c r="AK537" s="1"/>
      <c r="AL537" s="1"/>
      <c r="AM537" s="1"/>
      <c r="AN537" s="1"/>
      <c r="AO537" s="1"/>
      <c r="AP537" s="1"/>
      <c r="AQ537" s="1"/>
      <c r="AR537" s="1"/>
      <c r="AS537" s="1"/>
      <c r="AT537" s="1"/>
      <c r="AU537" s="1"/>
      <c r="AV537" s="1"/>
      <c r="AW537" s="1"/>
    </row>
    <row r="538" spans="1:49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  <c r="AB538" s="1"/>
      <c r="AC538" s="1"/>
      <c r="AD538" s="1"/>
      <c r="AE538" s="1"/>
      <c r="AF538" s="1"/>
      <c r="AG538" s="1"/>
      <c r="AH538" s="1"/>
      <c r="AI538" s="1"/>
      <c r="AJ538" s="1"/>
      <c r="AK538" s="1"/>
      <c r="AL538" s="1"/>
      <c r="AM538" s="1"/>
      <c r="AN538" s="1"/>
      <c r="AO538" s="1"/>
      <c r="AP538" s="1"/>
      <c r="AQ538" s="1"/>
      <c r="AR538" s="1"/>
      <c r="AS538" s="1"/>
      <c r="AT538" s="1"/>
      <c r="AU538" s="1"/>
      <c r="AV538" s="1"/>
      <c r="AW538" s="1"/>
    </row>
    <row r="539" spans="1:49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  <c r="AB539" s="1"/>
      <c r="AC539" s="1"/>
      <c r="AD539" s="1"/>
      <c r="AE539" s="1"/>
      <c r="AF539" s="1"/>
      <c r="AG539" s="1"/>
      <c r="AH539" s="1"/>
      <c r="AI539" s="1"/>
      <c r="AJ539" s="1"/>
      <c r="AK539" s="1"/>
      <c r="AL539" s="1"/>
      <c r="AM539" s="1"/>
      <c r="AN539" s="1"/>
      <c r="AO539" s="1"/>
      <c r="AP539" s="1"/>
      <c r="AQ539" s="1"/>
      <c r="AR539" s="1"/>
      <c r="AS539" s="1"/>
      <c r="AT539" s="1"/>
      <c r="AU539" s="1"/>
      <c r="AV539" s="1"/>
      <c r="AW539" s="1"/>
    </row>
    <row r="540" spans="1:49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  <c r="AB540" s="1"/>
      <c r="AC540" s="1"/>
      <c r="AD540" s="1"/>
      <c r="AE540" s="1"/>
      <c r="AF540" s="1"/>
      <c r="AG540" s="1"/>
      <c r="AH540" s="1"/>
      <c r="AI540" s="1"/>
      <c r="AJ540" s="1"/>
      <c r="AK540" s="1"/>
      <c r="AL540" s="1"/>
      <c r="AM540" s="1"/>
      <c r="AN540" s="1"/>
      <c r="AO540" s="1"/>
      <c r="AP540" s="1"/>
      <c r="AQ540" s="1"/>
      <c r="AR540" s="1"/>
      <c r="AS540" s="1"/>
      <c r="AT540" s="1"/>
      <c r="AU540" s="1"/>
      <c r="AV540" s="1"/>
      <c r="AW540" s="1"/>
    </row>
    <row r="541" spans="1:49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  <c r="AB541" s="1"/>
      <c r="AC541" s="1"/>
      <c r="AD541" s="1"/>
      <c r="AE541" s="1"/>
      <c r="AF541" s="1"/>
      <c r="AG541" s="1"/>
      <c r="AH541" s="1"/>
      <c r="AI541" s="1"/>
      <c r="AJ541" s="1"/>
      <c r="AK541" s="1"/>
      <c r="AL541" s="1"/>
      <c r="AM541" s="1"/>
      <c r="AN541" s="1"/>
      <c r="AO541" s="1"/>
      <c r="AP541" s="1"/>
      <c r="AQ541" s="1"/>
      <c r="AR541" s="1"/>
      <c r="AS541" s="1"/>
      <c r="AT541" s="1"/>
      <c r="AU541" s="1"/>
      <c r="AV541" s="1"/>
      <c r="AW541" s="1"/>
    </row>
    <row r="542" spans="1:49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  <c r="AB542" s="1"/>
      <c r="AC542" s="1"/>
      <c r="AD542" s="1"/>
      <c r="AE542" s="1"/>
      <c r="AF542" s="1"/>
      <c r="AG542" s="1"/>
      <c r="AH542" s="1"/>
      <c r="AI542" s="1"/>
      <c r="AJ542" s="1"/>
      <c r="AK542" s="1"/>
      <c r="AL542" s="1"/>
      <c r="AM542" s="1"/>
      <c r="AN542" s="1"/>
      <c r="AO542" s="1"/>
      <c r="AP542" s="1"/>
      <c r="AQ542" s="1"/>
      <c r="AR542" s="1"/>
      <c r="AS542" s="1"/>
      <c r="AT542" s="1"/>
      <c r="AU542" s="1"/>
      <c r="AV542" s="1"/>
      <c r="AW542" s="1"/>
    </row>
    <row r="543" spans="1:49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  <c r="AB543" s="1"/>
      <c r="AC543" s="1"/>
      <c r="AD543" s="1"/>
      <c r="AE543" s="1"/>
      <c r="AF543" s="1"/>
      <c r="AG543" s="1"/>
      <c r="AH543" s="1"/>
      <c r="AI543" s="1"/>
      <c r="AJ543" s="1"/>
      <c r="AK543" s="1"/>
      <c r="AL543" s="1"/>
      <c r="AM543" s="1"/>
      <c r="AN543" s="1"/>
      <c r="AO543" s="1"/>
      <c r="AP543" s="1"/>
      <c r="AQ543" s="1"/>
      <c r="AR543" s="1"/>
      <c r="AS543" s="1"/>
      <c r="AT543" s="1"/>
      <c r="AU543" s="1"/>
      <c r="AV543" s="1"/>
      <c r="AW543" s="1"/>
    </row>
    <row r="544" spans="1:49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  <c r="AB544" s="1"/>
      <c r="AC544" s="1"/>
      <c r="AD544" s="1"/>
      <c r="AE544" s="1"/>
      <c r="AF544" s="1"/>
      <c r="AG544" s="1"/>
      <c r="AH544" s="1"/>
      <c r="AI544" s="1"/>
      <c r="AJ544" s="1"/>
      <c r="AK544" s="1"/>
      <c r="AL544" s="1"/>
      <c r="AM544" s="1"/>
      <c r="AN544" s="1"/>
      <c r="AO544" s="1"/>
      <c r="AP544" s="1"/>
      <c r="AQ544" s="1"/>
      <c r="AR544" s="1"/>
      <c r="AS544" s="1"/>
      <c r="AT544" s="1"/>
      <c r="AU544" s="1"/>
      <c r="AV544" s="1"/>
      <c r="AW544" s="1"/>
    </row>
    <row r="545" spans="1:49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  <c r="AB545" s="1"/>
      <c r="AC545" s="1"/>
      <c r="AD545" s="1"/>
      <c r="AE545" s="1"/>
      <c r="AF545" s="1"/>
      <c r="AG545" s="1"/>
      <c r="AH545" s="1"/>
      <c r="AI545" s="1"/>
      <c r="AJ545" s="1"/>
      <c r="AK545" s="1"/>
      <c r="AL545" s="1"/>
      <c r="AM545" s="1"/>
      <c r="AN545" s="1"/>
      <c r="AO545" s="1"/>
      <c r="AP545" s="1"/>
      <c r="AQ545" s="1"/>
      <c r="AR545" s="1"/>
      <c r="AS545" s="1"/>
      <c r="AT545" s="1"/>
      <c r="AU545" s="1"/>
      <c r="AV545" s="1"/>
      <c r="AW545" s="1"/>
    </row>
    <row r="546" spans="1:49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  <c r="AB546" s="1"/>
      <c r="AC546" s="1"/>
      <c r="AD546" s="1"/>
      <c r="AE546" s="1"/>
      <c r="AF546" s="1"/>
      <c r="AG546" s="1"/>
      <c r="AH546" s="1"/>
      <c r="AI546" s="1"/>
      <c r="AJ546" s="1"/>
      <c r="AK546" s="1"/>
      <c r="AL546" s="1"/>
      <c r="AM546" s="1"/>
      <c r="AN546" s="1"/>
      <c r="AO546" s="1"/>
      <c r="AP546" s="1"/>
      <c r="AQ546" s="1"/>
      <c r="AR546" s="1"/>
      <c r="AS546" s="1"/>
      <c r="AT546" s="1"/>
      <c r="AU546" s="1"/>
      <c r="AV546" s="1"/>
      <c r="AW546" s="1"/>
    </row>
    <row r="547" spans="1:49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  <c r="AB547" s="1"/>
      <c r="AC547" s="1"/>
      <c r="AD547" s="1"/>
      <c r="AE547" s="1"/>
      <c r="AF547" s="1"/>
      <c r="AG547" s="1"/>
      <c r="AH547" s="1"/>
      <c r="AI547" s="1"/>
      <c r="AJ547" s="1"/>
      <c r="AK547" s="1"/>
      <c r="AL547" s="1"/>
      <c r="AM547" s="1"/>
      <c r="AN547" s="1"/>
      <c r="AO547" s="1"/>
      <c r="AP547" s="1"/>
      <c r="AQ547" s="1"/>
      <c r="AR547" s="1"/>
      <c r="AS547" s="1"/>
      <c r="AT547" s="1"/>
      <c r="AU547" s="1"/>
      <c r="AV547" s="1"/>
      <c r="AW547" s="1"/>
    </row>
    <row r="548" spans="1:49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  <c r="AB548" s="1"/>
      <c r="AC548" s="1"/>
      <c r="AD548" s="1"/>
      <c r="AE548" s="1"/>
      <c r="AF548" s="1"/>
      <c r="AG548" s="1"/>
      <c r="AH548" s="1"/>
      <c r="AI548" s="1"/>
      <c r="AJ548" s="1"/>
      <c r="AK548" s="1"/>
      <c r="AL548" s="1"/>
      <c r="AM548" s="1"/>
      <c r="AN548" s="1"/>
      <c r="AO548" s="1"/>
      <c r="AP548" s="1"/>
      <c r="AQ548" s="1"/>
      <c r="AR548" s="1"/>
      <c r="AS548" s="1"/>
      <c r="AT548" s="1"/>
      <c r="AU548" s="1"/>
      <c r="AV548" s="1"/>
      <c r="AW548" s="1"/>
    </row>
    <row r="549" spans="1:49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  <c r="AB549" s="1"/>
      <c r="AC549" s="1"/>
      <c r="AD549" s="1"/>
      <c r="AE549" s="1"/>
      <c r="AF549" s="1"/>
      <c r="AG549" s="1"/>
      <c r="AH549" s="1"/>
      <c r="AI549" s="1"/>
      <c r="AJ549" s="1"/>
      <c r="AK549" s="1"/>
      <c r="AL549" s="1"/>
      <c r="AM549" s="1"/>
      <c r="AN549" s="1"/>
      <c r="AO549" s="1"/>
      <c r="AP549" s="1"/>
      <c r="AQ549" s="1"/>
      <c r="AR549" s="1"/>
      <c r="AS549" s="1"/>
      <c r="AT549" s="1"/>
      <c r="AU549" s="1"/>
      <c r="AV549" s="1"/>
      <c r="AW549" s="1"/>
    </row>
    <row r="550" spans="1:49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  <c r="AB550" s="1"/>
      <c r="AC550" s="1"/>
      <c r="AD550" s="1"/>
      <c r="AE550" s="1"/>
      <c r="AF550" s="1"/>
      <c r="AG550" s="1"/>
      <c r="AH550" s="1"/>
      <c r="AI550" s="1"/>
      <c r="AJ550" s="1"/>
      <c r="AK550" s="1"/>
      <c r="AL550" s="1"/>
      <c r="AM550" s="1"/>
      <c r="AN550" s="1"/>
      <c r="AO550" s="1"/>
      <c r="AP550" s="1"/>
      <c r="AQ550" s="1"/>
      <c r="AR550" s="1"/>
      <c r="AS550" s="1"/>
      <c r="AT550" s="1"/>
      <c r="AU550" s="1"/>
      <c r="AV550" s="1"/>
      <c r="AW550" s="1"/>
    </row>
    <row r="551" spans="1:49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  <c r="AB551" s="1"/>
      <c r="AC551" s="1"/>
      <c r="AD551" s="1"/>
      <c r="AE551" s="1"/>
      <c r="AF551" s="1"/>
      <c r="AG551" s="1"/>
      <c r="AH551" s="1"/>
      <c r="AI551" s="1"/>
      <c r="AJ551" s="1"/>
      <c r="AK551" s="1"/>
      <c r="AL551" s="1"/>
      <c r="AM551" s="1"/>
      <c r="AN551" s="1"/>
      <c r="AO551" s="1"/>
      <c r="AP551" s="1"/>
      <c r="AQ551" s="1"/>
      <c r="AR551" s="1"/>
      <c r="AS551" s="1"/>
      <c r="AT551" s="1"/>
      <c r="AU551" s="1"/>
      <c r="AV551" s="1"/>
      <c r="AW551" s="1"/>
    </row>
    <row r="552" spans="1:49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  <c r="AB552" s="1"/>
      <c r="AC552" s="1"/>
      <c r="AD552" s="1"/>
      <c r="AE552" s="1"/>
      <c r="AF552" s="1"/>
      <c r="AG552" s="1"/>
      <c r="AH552" s="1"/>
      <c r="AI552" s="1"/>
      <c r="AJ552" s="1"/>
      <c r="AK552" s="1"/>
      <c r="AL552" s="1"/>
      <c r="AM552" s="1"/>
      <c r="AN552" s="1"/>
      <c r="AO552" s="1"/>
      <c r="AP552" s="1"/>
      <c r="AQ552" s="1"/>
      <c r="AR552" s="1"/>
      <c r="AS552" s="1"/>
      <c r="AT552" s="1"/>
      <c r="AU552" s="1"/>
      <c r="AV552" s="1"/>
      <c r="AW552" s="1"/>
    </row>
    <row r="553" spans="1:49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  <c r="AB553" s="1"/>
      <c r="AC553" s="1"/>
      <c r="AD553" s="1"/>
      <c r="AE553" s="1"/>
      <c r="AF553" s="1"/>
      <c r="AG553" s="1"/>
      <c r="AH553" s="1"/>
      <c r="AI553" s="1"/>
      <c r="AJ553" s="1"/>
      <c r="AK553" s="1"/>
      <c r="AL553" s="1"/>
      <c r="AM553" s="1"/>
      <c r="AN553" s="1"/>
      <c r="AO553" s="1"/>
      <c r="AP553" s="1"/>
      <c r="AQ553" s="1"/>
      <c r="AR553" s="1"/>
      <c r="AS553" s="1"/>
      <c r="AT553" s="1"/>
      <c r="AU553" s="1"/>
      <c r="AV553" s="1"/>
      <c r="AW553" s="1"/>
    </row>
    <row r="554" spans="1:49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  <c r="AB554" s="1"/>
      <c r="AC554" s="1"/>
      <c r="AD554" s="1"/>
      <c r="AE554" s="1"/>
      <c r="AF554" s="1"/>
      <c r="AG554" s="1"/>
      <c r="AH554" s="1"/>
      <c r="AI554" s="1"/>
      <c r="AJ554" s="1"/>
      <c r="AK554" s="1"/>
      <c r="AL554" s="1"/>
      <c r="AM554" s="1"/>
      <c r="AN554" s="1"/>
      <c r="AO554" s="1"/>
      <c r="AP554" s="1"/>
      <c r="AQ554" s="1"/>
      <c r="AR554" s="1"/>
      <c r="AS554" s="1"/>
      <c r="AT554" s="1"/>
      <c r="AU554" s="1"/>
      <c r="AV554" s="1"/>
      <c r="AW554" s="1"/>
    </row>
    <row r="555" spans="1:49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  <c r="AB555" s="1"/>
      <c r="AC555" s="1"/>
      <c r="AD555" s="1"/>
      <c r="AE555" s="1"/>
      <c r="AF555" s="1"/>
      <c r="AG555" s="1"/>
      <c r="AH555" s="1"/>
      <c r="AI555" s="1"/>
      <c r="AJ555" s="1"/>
      <c r="AK555" s="1"/>
      <c r="AL555" s="1"/>
      <c r="AM555" s="1"/>
      <c r="AN555" s="1"/>
      <c r="AO555" s="1"/>
      <c r="AP555" s="1"/>
      <c r="AQ555" s="1"/>
      <c r="AR555" s="1"/>
      <c r="AS555" s="1"/>
      <c r="AT555" s="1"/>
      <c r="AU555" s="1"/>
      <c r="AV555" s="1"/>
      <c r="AW555" s="1"/>
    </row>
    <row r="556" spans="1:49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  <c r="AB556" s="1"/>
      <c r="AC556" s="1"/>
      <c r="AD556" s="1"/>
      <c r="AE556" s="1"/>
      <c r="AF556" s="1"/>
      <c r="AG556" s="1"/>
      <c r="AH556" s="1"/>
      <c r="AI556" s="1"/>
      <c r="AJ556" s="1"/>
      <c r="AK556" s="1"/>
      <c r="AL556" s="1"/>
      <c r="AM556" s="1"/>
      <c r="AN556" s="1"/>
      <c r="AO556" s="1"/>
      <c r="AP556" s="1"/>
      <c r="AQ556" s="1"/>
      <c r="AR556" s="1"/>
      <c r="AS556" s="1"/>
      <c r="AT556" s="1"/>
      <c r="AU556" s="1"/>
      <c r="AV556" s="1"/>
      <c r="AW556" s="1"/>
    </row>
    <row r="557" spans="1:49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  <c r="AB557" s="1"/>
      <c r="AC557" s="1"/>
      <c r="AD557" s="1"/>
      <c r="AE557" s="1"/>
      <c r="AF557" s="1"/>
      <c r="AG557" s="1"/>
      <c r="AH557" s="1"/>
      <c r="AI557" s="1"/>
      <c r="AJ557" s="1"/>
      <c r="AK557" s="1"/>
      <c r="AL557" s="1"/>
      <c r="AM557" s="1"/>
      <c r="AN557" s="1"/>
      <c r="AO557" s="1"/>
      <c r="AP557" s="1"/>
      <c r="AQ557" s="1"/>
      <c r="AR557" s="1"/>
      <c r="AS557" s="1"/>
      <c r="AT557" s="1"/>
      <c r="AU557" s="1"/>
      <c r="AV557" s="1"/>
      <c r="AW557" s="1"/>
    </row>
  </sheetData>
  <hyperlinks>
    <hyperlink ref="P7" r:id="rId1" xr:uid="{00000000-0004-0000-0000-000000000000}"/>
    <hyperlink ref="P6" r:id="rId2" display="Newtonexcelbach" xr:uid="{00000000-0004-0000-0000-000001000000}"/>
  </hyperlinks>
  <pageMargins left="0.7" right="0.7" top="0.75" bottom="0.75" header="0.3" footer="0.3"/>
  <pageSetup paperSize="9" orientation="portrait" r:id="rId3"/>
  <drawing r:id="rId4"/>
  <legacyDrawing r:id="rId5"/>
  <controls>
    <mc:AlternateContent xmlns:mc="http://schemas.openxmlformats.org/markup-compatibility/2006">
      <mc:Choice Requires="x14">
        <control shapeId="1027" r:id="rId6" name="ScrollBar1">
          <controlPr defaultSize="0" autoFill="0" autoLine="0" linkedCell="AB5" r:id="rId7">
            <anchor moveWithCells="1">
              <from>
                <xdr:col>12</xdr:col>
                <xdr:colOff>28575</xdr:colOff>
                <xdr:row>19</xdr:row>
                <xdr:rowOff>85725</xdr:rowOff>
              </from>
              <to>
                <xdr:col>18</xdr:col>
                <xdr:colOff>200025</xdr:colOff>
                <xdr:row>20</xdr:row>
                <xdr:rowOff>123825</xdr:rowOff>
              </to>
            </anchor>
          </controlPr>
        </control>
      </mc:Choice>
      <mc:Fallback>
        <control shapeId="1027" r:id="rId6" name="ScrollBar1"/>
      </mc:Fallback>
    </mc:AlternateContent>
    <mc:AlternateContent xmlns:mc="http://schemas.openxmlformats.org/markup-compatibility/2006">
      <mc:Choice Requires="x14">
        <control shapeId="1054" r:id="rId8" name="ScrollBar4">
          <controlPr defaultSize="0" autoLine="0" linkedCell="N11" r:id="rId9">
            <anchor moveWithCells="1" sizeWithCells="1">
              <from>
                <xdr:col>14</xdr:col>
                <xdr:colOff>28575</xdr:colOff>
                <xdr:row>10</xdr:row>
                <xdr:rowOff>9525</xdr:rowOff>
              </from>
              <to>
                <xdr:col>16</xdr:col>
                <xdr:colOff>419100</xdr:colOff>
                <xdr:row>10</xdr:row>
                <xdr:rowOff>342900</xdr:rowOff>
              </to>
            </anchor>
          </controlPr>
        </control>
      </mc:Choice>
      <mc:Fallback>
        <control shapeId="1054" r:id="rId8" name="ScrollBar4"/>
      </mc:Fallback>
    </mc:AlternateContent>
    <mc:AlternateContent xmlns:mc="http://schemas.openxmlformats.org/markup-compatibility/2006">
      <mc:Choice Requires="x14">
        <control shapeId="1055" r:id="rId10" name="ScrollBar2">
          <controlPr defaultSize="0" autoLine="0" linkedCell="N12" r:id="rId11">
            <anchor moveWithCells="1" sizeWithCells="1">
              <from>
                <xdr:col>14</xdr:col>
                <xdr:colOff>28575</xdr:colOff>
                <xdr:row>11</xdr:row>
                <xdr:rowOff>9525</xdr:rowOff>
              </from>
              <to>
                <xdr:col>16</xdr:col>
                <xdr:colOff>419100</xdr:colOff>
                <xdr:row>11</xdr:row>
                <xdr:rowOff>342900</xdr:rowOff>
              </to>
            </anchor>
          </controlPr>
        </control>
      </mc:Choice>
      <mc:Fallback>
        <control shapeId="1055" r:id="rId10" name="ScrollBar2"/>
      </mc:Fallback>
    </mc:AlternateContent>
    <mc:AlternateContent xmlns:mc="http://schemas.openxmlformats.org/markup-compatibility/2006">
      <mc:Choice Requires="x14">
        <control shapeId="1056" r:id="rId12" name="ScrollBar3">
          <controlPr defaultSize="0" autoLine="0" linkedCell="N13" r:id="rId11">
            <anchor moveWithCells="1" sizeWithCells="1">
              <from>
                <xdr:col>14</xdr:col>
                <xdr:colOff>38100</xdr:colOff>
                <xdr:row>12</xdr:row>
                <xdr:rowOff>9525</xdr:rowOff>
              </from>
              <to>
                <xdr:col>16</xdr:col>
                <xdr:colOff>428625</xdr:colOff>
                <xdr:row>12</xdr:row>
                <xdr:rowOff>342900</xdr:rowOff>
              </to>
            </anchor>
          </controlPr>
        </control>
      </mc:Choice>
      <mc:Fallback>
        <control shapeId="1056" r:id="rId12" name="ScrollBar3"/>
      </mc:Fallback>
    </mc:AlternateContent>
    <mc:AlternateContent xmlns:mc="http://schemas.openxmlformats.org/markup-compatibility/2006">
      <mc:Choice Requires="x14">
        <control shapeId="1040" r:id="rId13" name="Option Button 16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30</xdr:row>
                <xdr:rowOff>133350</xdr:rowOff>
              </from>
              <to>
                <xdr:col>14</xdr:col>
                <xdr:colOff>104775</xdr:colOff>
                <xdr:row>32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4" name="Option Button 17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32</xdr:row>
                <xdr:rowOff>47625</xdr:rowOff>
              </from>
              <to>
                <xdr:col>14</xdr:col>
                <xdr:colOff>104775</xdr:colOff>
                <xdr:row>33</xdr:row>
                <xdr:rowOff>142875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2" r:id="rId15" name="Option Button 18">
          <controlPr defaultSize="0" autoFill="0" autoLine="0" autoPict="0" macro="[0]!SetWires">
            <anchor moveWithCells="1" sizeWithCells="1">
              <from>
                <xdr:col>12</xdr:col>
                <xdr:colOff>85725</xdr:colOff>
                <xdr:row>33</xdr:row>
                <xdr:rowOff>123825</xdr:rowOff>
              </from>
              <to>
                <xdr:col>14</xdr:col>
                <xdr:colOff>104775</xdr:colOff>
                <xdr:row>35</xdr:row>
                <xdr:rowOff>76200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16" name="Group Box 19">
          <controlPr defaultSize="0" autoFill="0" autoPict="0">
            <anchor moveWithCells="1" sizeWithCells="1">
              <from>
                <xdr:col>12</xdr:col>
                <xdr:colOff>66675</xdr:colOff>
                <xdr:row>30</xdr:row>
                <xdr:rowOff>38100</xdr:rowOff>
              </from>
              <to>
                <xdr:col>14</xdr:col>
                <xdr:colOff>123825</xdr:colOff>
                <xdr:row>35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17" name="Group Box 9">
          <controlPr defaultSize="0" autoFill="0" autoPict="0">
            <anchor moveWithCells="1" sizeWithCells="1">
              <from>
                <xdr:col>12</xdr:col>
                <xdr:colOff>66675</xdr:colOff>
                <xdr:row>24</xdr:row>
                <xdr:rowOff>28575</xdr:rowOff>
              </from>
              <to>
                <xdr:col>14</xdr:col>
                <xdr:colOff>133350</xdr:colOff>
                <xdr:row>29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0" r:id="rId18" name="Option Button 26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24</xdr:row>
                <xdr:rowOff>76200</xdr:rowOff>
              </from>
              <to>
                <xdr:col>14</xdr:col>
                <xdr:colOff>123825</xdr:colOff>
                <xdr:row>25</xdr:row>
                <xdr:rowOff>95250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1" r:id="rId19" name="Option Button 27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25</xdr:row>
                <xdr:rowOff>95250</xdr:rowOff>
              </from>
              <to>
                <xdr:col>14</xdr:col>
                <xdr:colOff>123825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2" r:id="rId20" name="Option Button 28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26</xdr:row>
                <xdr:rowOff>114300</xdr:rowOff>
              </from>
              <to>
                <xdr:col>14</xdr:col>
                <xdr:colOff>123825</xdr:colOff>
                <xdr:row>27</xdr:row>
                <xdr:rowOff>133350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53" r:id="rId21" name="Option Button 29">
          <controlPr defaultSize="0" autoFill="0" autoLine="0" autoPict="0" macro="[0]!Set_Pendulum_Colors">
            <anchor moveWithCells="1" sizeWithCells="1">
              <from>
                <xdr:col>12</xdr:col>
                <xdr:colOff>104775</xdr:colOff>
                <xdr:row>27</xdr:row>
                <xdr:rowOff>133350</xdr:rowOff>
              </from>
              <to>
                <xdr:col>14</xdr:col>
                <xdr:colOff>123825</xdr:colOff>
                <xdr:row>28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5" r:id="rId22" name="Group Box 41">
          <controlPr defaultSize="0" autoFill="0" autoPict="0">
            <anchor moveWithCells="1" sizeWithCells="1">
              <from>
                <xdr:col>14</xdr:col>
                <xdr:colOff>352425</xdr:colOff>
                <xdr:row>24</xdr:row>
                <xdr:rowOff>28575</xdr:rowOff>
              </from>
              <to>
                <xdr:col>17</xdr:col>
                <xdr:colOff>95250</xdr:colOff>
                <xdr:row>28</xdr:row>
                <xdr:rowOff>123825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2" r:id="rId23" name="Check Box 38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25</xdr:row>
                <xdr:rowOff>47625</xdr:rowOff>
              </from>
              <to>
                <xdr:col>16</xdr:col>
                <xdr:colOff>304800</xdr:colOff>
                <xdr:row>26</xdr:row>
                <xdr:rowOff>104775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63" r:id="rId24" name="Check Box 39">
          <controlPr defaultSize="0" autoFill="0" autoLine="0" autoPict="0" macro="[0]!Show_Struct">
            <anchor moveWithCells="1" sizeWithCells="1">
              <from>
                <xdr:col>15</xdr:col>
                <xdr:colOff>9525</xdr:colOff>
                <xdr:row>27</xdr:row>
                <xdr:rowOff>38100</xdr:rowOff>
              </from>
              <to>
                <xdr:col>16</xdr:col>
                <xdr:colOff>304800</xdr:colOff>
                <xdr:row>28</xdr:row>
                <xdr:rowOff>57150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" r:id="rId25" name="Check Box 42">
          <controlPr defaultSize="0" autoFill="0" autoLine="0" autoPict="0">
            <anchor moveWithCells="1">
              <from>
                <xdr:col>14</xdr:col>
                <xdr:colOff>438150</xdr:colOff>
                <xdr:row>30</xdr:row>
                <xdr:rowOff>104775</xdr:rowOff>
              </from>
              <to>
                <xdr:col>18</xdr:col>
                <xdr:colOff>219075</xdr:colOff>
                <xdr:row>32</xdr:row>
                <xdr:rowOff>28575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54</vt:i4>
      </vt:variant>
    </vt:vector>
  </HeadingPairs>
  <TitlesOfParts>
    <vt:vector size="56" baseType="lpstr">
      <vt:lpstr>Pendulum</vt:lpstr>
      <vt:lpstr>1</vt:lpstr>
      <vt:lpstr>Pendulum!g</vt:lpstr>
      <vt:lpstr>g</vt:lpstr>
      <vt:lpstr>Pendulum!Grid</vt:lpstr>
      <vt:lpstr>Grid</vt:lpstr>
      <vt:lpstr>Pendulum!p10Len</vt:lpstr>
      <vt:lpstr>p10Len</vt:lpstr>
      <vt:lpstr>Pendulum!p11Len</vt:lpstr>
      <vt:lpstr>p11Len</vt:lpstr>
      <vt:lpstr>Pendulum!p12Len</vt:lpstr>
      <vt:lpstr>p12Len</vt:lpstr>
      <vt:lpstr>Pendulum!p13Len</vt:lpstr>
      <vt:lpstr>p13Len</vt:lpstr>
      <vt:lpstr>Pendulum!p14Len</vt:lpstr>
      <vt:lpstr>p14Len</vt:lpstr>
      <vt:lpstr>Pendulum!p15Len</vt:lpstr>
      <vt:lpstr>p15Len</vt:lpstr>
      <vt:lpstr>Pendulum!p16Len</vt:lpstr>
      <vt:lpstr>p16Len</vt:lpstr>
      <vt:lpstr>Pendulum!p1Len</vt:lpstr>
      <vt:lpstr>p1Len</vt:lpstr>
      <vt:lpstr>Pendulum!p2Len</vt:lpstr>
      <vt:lpstr>p2Len</vt:lpstr>
      <vt:lpstr>Pendulum!p3Len</vt:lpstr>
      <vt:lpstr>p3Len</vt:lpstr>
      <vt:lpstr>Pendulum!p4Len</vt:lpstr>
      <vt:lpstr>p4Len</vt:lpstr>
      <vt:lpstr>Pendulum!p5Len</vt:lpstr>
      <vt:lpstr>p5Len</vt:lpstr>
      <vt:lpstr>Pendulum!p6Len</vt:lpstr>
      <vt:lpstr>p6Len</vt:lpstr>
      <vt:lpstr>Pendulum!p7Len</vt:lpstr>
      <vt:lpstr>p7Len</vt:lpstr>
      <vt:lpstr>Pendulum!p8Len</vt:lpstr>
      <vt:lpstr>p8Len</vt:lpstr>
      <vt:lpstr>Pendulum!p9Len</vt:lpstr>
      <vt:lpstr>p9Len</vt:lpstr>
      <vt:lpstr>Pendulum!QQ</vt:lpstr>
      <vt:lpstr>QQ</vt:lpstr>
      <vt:lpstr>Pendulum!ShowAxis</vt:lpstr>
      <vt:lpstr>ShowAxis</vt:lpstr>
      <vt:lpstr>Pendulum!ShowCage</vt:lpstr>
      <vt:lpstr>ShowCage</vt:lpstr>
      <vt:lpstr>Pendulum!Spacing</vt:lpstr>
      <vt:lpstr>Spacing</vt:lpstr>
      <vt:lpstr>Pendulum!tinc</vt:lpstr>
      <vt:lpstr>tinc</vt:lpstr>
      <vt:lpstr>Pendulum!XAngle</vt:lpstr>
      <vt:lpstr>XAngle</vt:lpstr>
      <vt:lpstr>Pendulum!YAngle</vt:lpstr>
      <vt:lpstr>YAngle</vt:lpstr>
      <vt:lpstr>Pendulum!YRot</vt:lpstr>
      <vt:lpstr>YRot</vt:lpstr>
      <vt:lpstr>Pendulum!ZAngle</vt:lpstr>
      <vt:lpstr>ZAngle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Ian Huitson</dc:creator>
  <cp:lastModifiedBy>Hardik Shrestha (LCL)</cp:lastModifiedBy>
  <cp:lastPrinted>2011-06-02T00:46:54Z</cp:lastPrinted>
  <dcterms:created xsi:type="dcterms:W3CDTF">2011-05-31T00:44:18Z</dcterms:created>
  <dcterms:modified xsi:type="dcterms:W3CDTF">2024-05-07T20:42:57Z</dcterms:modified>
</cp:coreProperties>
</file>